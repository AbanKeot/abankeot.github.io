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ASUS\Desktop\Modeling\"/>
    </mc:Choice>
  </mc:AlternateContent>
  <xr:revisionPtr revIDLastSave="0" documentId="13_ncr:1_{F9A2B7E1-12FC-4CD8-B57A-0164D90309FE}" xr6:coauthVersionLast="47" xr6:coauthVersionMax="47" xr10:uidLastSave="{00000000-0000-0000-0000-000000000000}"/>
  <bookViews>
    <workbookView xWindow="-108" yWindow="-108" windowWidth="23256" windowHeight="12456" activeTab="1" xr2:uid="{00000000-000D-0000-FFFF-FFFF00000000}"/>
  </bookViews>
  <sheets>
    <sheet name="Data Sheet" sheetId="6" r:id="rId1"/>
    <sheet name="Financial Statement" sheetId="7" r:id="rId2"/>
    <sheet name="Assumptions" sheetId="8" r:id="rId3"/>
    <sheet name="Valuation" sheetId="9" r:id="rId4"/>
  </sheets>
  <definedNames>
    <definedName name="UPDATE">'Data Sheet'!#REF!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3" i="9" l="1"/>
  <c r="B16" i="6"/>
  <c r="C11" i="9"/>
  <c r="D30" i="7"/>
  <c r="C30" i="7"/>
  <c r="G29" i="7"/>
  <c r="G30" i="7" s="1"/>
  <c r="C38" i="8" s="1"/>
  <c r="F29" i="7"/>
  <c r="F30" i="7" s="1"/>
  <c r="E29" i="7"/>
  <c r="E30" i="7" s="1"/>
  <c r="D29" i="7"/>
  <c r="C29" i="7"/>
  <c r="L14" i="7"/>
  <c r="K14" i="7"/>
  <c r="J14" i="7"/>
  <c r="I14" i="7"/>
  <c r="H14" i="7"/>
  <c r="H12" i="7"/>
  <c r="L12" i="7"/>
  <c r="K12" i="7"/>
  <c r="J12" i="7"/>
  <c r="I12" i="7"/>
  <c r="G13" i="7"/>
  <c r="G14" i="7" s="1"/>
  <c r="F13" i="7"/>
  <c r="E13" i="7"/>
  <c r="D13" i="7"/>
  <c r="C13" i="7"/>
  <c r="C16" i="7" s="1"/>
  <c r="C17" i="7" s="1"/>
  <c r="G25" i="7"/>
  <c r="F25" i="7"/>
  <c r="E25" i="7"/>
  <c r="D25" i="7"/>
  <c r="C25" i="7"/>
  <c r="G19" i="7"/>
  <c r="F19" i="7"/>
  <c r="E19" i="7"/>
  <c r="D19" i="7"/>
  <c r="C19" i="7"/>
  <c r="G11" i="7"/>
  <c r="F11" i="7"/>
  <c r="E11" i="7"/>
  <c r="D11" i="7"/>
  <c r="C11" i="7"/>
  <c r="D20" i="7" l="1"/>
  <c r="K30" i="7"/>
  <c r="I30" i="7"/>
  <c r="H30" i="7"/>
  <c r="C37" i="8"/>
  <c r="L29" i="7" s="1"/>
  <c r="L30" i="7"/>
  <c r="J30" i="7"/>
  <c r="D14" i="7"/>
  <c r="E20" i="7"/>
  <c r="F16" i="7"/>
  <c r="F22" i="7" s="1"/>
  <c r="F26" i="7" s="1"/>
  <c r="G12" i="7"/>
  <c r="G16" i="7"/>
  <c r="G17" i="7" s="1"/>
  <c r="C20" i="7"/>
  <c r="E12" i="7"/>
  <c r="D16" i="7"/>
  <c r="D17" i="7" s="1"/>
  <c r="F12" i="7"/>
  <c r="F14" i="7"/>
  <c r="E16" i="7"/>
  <c r="E14" i="7"/>
  <c r="D12" i="7"/>
  <c r="H11" i="7"/>
  <c r="C14" i="7"/>
  <c r="F20" i="7"/>
  <c r="C22" i="7"/>
  <c r="C26" i="7" s="1"/>
  <c r="G20" i="7"/>
  <c r="H29" i="7" l="1"/>
  <c r="J29" i="7"/>
  <c r="I29" i="7"/>
  <c r="K29" i="7"/>
  <c r="G22" i="7"/>
  <c r="G26" i="7" s="1"/>
  <c r="C35" i="8"/>
  <c r="I20" i="7" s="1"/>
  <c r="D22" i="7"/>
  <c r="D26" i="7" s="1"/>
  <c r="F17" i="7"/>
  <c r="H13" i="7"/>
  <c r="H16" i="7" s="1"/>
  <c r="I11" i="7"/>
  <c r="C27" i="7"/>
  <c r="C31" i="7" s="1"/>
  <c r="C23" i="7"/>
  <c r="E17" i="7"/>
  <c r="E22" i="7"/>
  <c r="E26" i="7" s="1"/>
  <c r="D23" i="7"/>
  <c r="F27" i="7"/>
  <c r="F31" i="7" s="1"/>
  <c r="F23" i="7"/>
  <c r="G23" i="7" l="1"/>
  <c r="G27" i="7"/>
  <c r="H27" i="7" s="1"/>
  <c r="C36" i="8"/>
  <c r="H26" i="7" s="1"/>
  <c r="J20" i="7"/>
  <c r="G31" i="7"/>
  <c r="K20" i="7"/>
  <c r="L20" i="7"/>
  <c r="H20" i="7"/>
  <c r="H19" i="7" s="1"/>
  <c r="H22" i="7" s="1"/>
  <c r="D27" i="7"/>
  <c r="D31" i="7" s="1"/>
  <c r="H17" i="7"/>
  <c r="I19" i="7"/>
  <c r="J11" i="7"/>
  <c r="I13" i="7"/>
  <c r="I16" i="7" s="1"/>
  <c r="E23" i="7"/>
  <c r="E27" i="7"/>
  <c r="E31" i="7" s="1"/>
  <c r="J26" i="7" l="1"/>
  <c r="K26" i="7"/>
  <c r="I26" i="7"/>
  <c r="L26" i="7"/>
  <c r="I27" i="7"/>
  <c r="H31" i="7"/>
  <c r="J19" i="7"/>
  <c r="I17" i="7"/>
  <c r="I22" i="7"/>
  <c r="H25" i="7"/>
  <c r="H23" i="7"/>
  <c r="K11" i="7"/>
  <c r="K19" i="7" s="1"/>
  <c r="J13" i="7"/>
  <c r="J16" i="7" s="1"/>
  <c r="J27" i="7" l="1"/>
  <c r="I31" i="7"/>
  <c r="J17" i="7"/>
  <c r="J22" i="7"/>
  <c r="I25" i="7"/>
  <c r="I23" i="7"/>
  <c r="L11" i="7"/>
  <c r="L19" i="7" s="1"/>
  <c r="K13" i="7"/>
  <c r="K16" i="7" s="1"/>
  <c r="K27" i="7" l="1"/>
  <c r="J31" i="7"/>
  <c r="K17" i="7"/>
  <c r="K22" i="7"/>
  <c r="J23" i="7"/>
  <c r="J25" i="7"/>
  <c r="L13" i="7"/>
  <c r="L16" i="7" s="1"/>
  <c r="L27" i="7" l="1"/>
  <c r="L31" i="7" s="1"/>
  <c r="C3" i="9" s="1"/>
  <c r="C5" i="9" s="1"/>
  <c r="C9" i="9" s="1"/>
  <c r="C15" i="9" s="1"/>
  <c r="C17" i="9" s="1"/>
  <c r="C19" i="9" s="1"/>
  <c r="K31" i="7"/>
  <c r="L17" i="7"/>
  <c r="L22" i="7"/>
  <c r="K23" i="7"/>
  <c r="K25" i="7"/>
  <c r="L23" i="7" l="1"/>
  <c r="L25" i="7"/>
  <c r="F97" i="6" l="1"/>
  <c r="E97" i="6"/>
  <c r="D97" i="6"/>
  <c r="C97" i="6"/>
  <c r="B97" i="6"/>
  <c r="F95" i="6"/>
  <c r="E95" i="6"/>
  <c r="D95" i="6"/>
  <c r="C95" i="6"/>
  <c r="B95" i="6"/>
  <c r="F90" i="6"/>
  <c r="E90" i="6"/>
  <c r="D90" i="6"/>
  <c r="C90" i="6"/>
  <c r="B90" i="6"/>
  <c r="B9" i="6"/>
</calcChain>
</file>

<file path=xl/sharedStrings.xml><?xml version="1.0" encoding="utf-8"?>
<sst xmlns="http://schemas.openxmlformats.org/spreadsheetml/2006/main" count="162" uniqueCount="146">
  <si>
    <t>Sales</t>
  </si>
  <si>
    <t>Other Income</t>
  </si>
  <si>
    <t>Depreciation</t>
  </si>
  <si>
    <t>Interest</t>
  </si>
  <si>
    <t>Profit before tax</t>
  </si>
  <si>
    <t>Tax</t>
  </si>
  <si>
    <t>Net profit</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</si>
  <si>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</si>
  <si>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</si>
  <si>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</si>
  <si>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</si>
  <si>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</si>
  <si>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</si>
  <si>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</si>
  <si>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</si>
  <si>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</si>
  <si>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</si>
  <si>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</si>
  <si>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Report Date</t>
  </si>
  <si>
    <t>BALANCE SHEET</t>
  </si>
  <si>
    <t>CASH FLOW:</t>
  </si>
  <si>
    <t>Number of shares</t>
  </si>
  <si>
    <t>Current Price</t>
  </si>
  <si>
    <t>Inventory</t>
  </si>
  <si>
    <t>META</t>
  </si>
  <si>
    <t>Dividend Amount</t>
  </si>
  <si>
    <t>Borrowings</t>
  </si>
  <si>
    <t>Other Liabilities</t>
  </si>
  <si>
    <t>Other Assets</t>
  </si>
  <si>
    <t>No. of Equity Shares</t>
  </si>
  <si>
    <t>New Bonus Shares</t>
  </si>
  <si>
    <t>Receivables</t>
  </si>
  <si>
    <t>Market Capitalization</t>
  </si>
  <si>
    <t>Other Mfr. Exp</t>
  </si>
  <si>
    <t>Employee Cost</t>
  </si>
  <si>
    <t>Selling and admin</t>
  </si>
  <si>
    <t>Other Expenses</t>
  </si>
  <si>
    <t>Cash &amp; Bank</t>
  </si>
  <si>
    <t>Face value</t>
  </si>
  <si>
    <t>Profit from operations</t>
  </si>
  <si>
    <t>Loans Advances</t>
  </si>
  <si>
    <t>Operating investments</t>
  </si>
  <si>
    <t>Operating borrowings</t>
  </si>
  <si>
    <t>Operating Deposits</t>
  </si>
  <si>
    <t>Other WC items</t>
  </si>
  <si>
    <t>Working capital changes</t>
  </si>
  <si>
    <t>Direct taxes</t>
  </si>
  <si>
    <t>Fixed assets purchased</t>
  </si>
  <si>
    <t>Fixed assets sold</t>
  </si>
  <si>
    <t>Interest received</t>
  </si>
  <si>
    <t>Dividends received</t>
  </si>
  <si>
    <t>Invest in subsidiaries</t>
  </si>
  <si>
    <t>Investment in group cos</t>
  </si>
  <si>
    <t>Redemp n Canc of Shares</t>
  </si>
  <si>
    <t>Acquisition of companies</t>
  </si>
  <si>
    <t>Other investing items</t>
  </si>
  <si>
    <t>Proceeds from shares</t>
  </si>
  <si>
    <t>Proceeds from borrowings</t>
  </si>
  <si>
    <t>Interest paid fin</t>
  </si>
  <si>
    <t>Dividends paid</t>
  </si>
  <si>
    <t>Share application money</t>
  </si>
  <si>
    <t>Other financing items</t>
  </si>
  <si>
    <t>Free Cash Flow</t>
  </si>
  <si>
    <t>CFO/OP</t>
  </si>
  <si>
    <t>110%</t>
  </si>
  <si>
    <t>72%</t>
  </si>
  <si>
    <t>-47%</t>
  </si>
  <si>
    <t>27%</t>
  </si>
  <si>
    <t>34%</t>
  </si>
  <si>
    <t>1 year high and Low</t>
  </si>
  <si>
    <t>Dividend Yearly</t>
  </si>
  <si>
    <t>Date : 29/04/2026</t>
  </si>
  <si>
    <t>State Bank of India is a Fortune 500 company. It is an Indian Multinational, Public Sector banking and financial services statutory body headquartered in Mumbai. It is the largest and oldest bank in India with over 200 years of history</t>
  </si>
  <si>
    <t>Cr</t>
  </si>
  <si>
    <t xml:space="preserve"> May</t>
  </si>
  <si>
    <t>1234.70 /755.50</t>
  </si>
  <si>
    <t>Income Statement</t>
  </si>
  <si>
    <t>Revenue</t>
  </si>
  <si>
    <t>in Cr</t>
  </si>
  <si>
    <t>Total Income</t>
  </si>
  <si>
    <t>Expenditure</t>
  </si>
  <si>
    <t>PBDT</t>
  </si>
  <si>
    <t>PBT</t>
  </si>
  <si>
    <t>Net Profit</t>
  </si>
  <si>
    <t>State Bank of India</t>
  </si>
  <si>
    <t>PROFIT &amp; LOSS (Consolidated figures in Cr)</t>
  </si>
  <si>
    <t>Expected</t>
  </si>
  <si>
    <t>Actual</t>
  </si>
  <si>
    <t>Operating Profit</t>
  </si>
  <si>
    <t>Operating Margin</t>
  </si>
  <si>
    <t xml:space="preserve">Interest </t>
  </si>
  <si>
    <t>Profit Before Tax</t>
  </si>
  <si>
    <t>PBT % Income</t>
  </si>
  <si>
    <t>Total Operating Income</t>
  </si>
  <si>
    <t>Operating Expenses</t>
  </si>
  <si>
    <t>Cost to Income Ratio</t>
  </si>
  <si>
    <t>REVENUE DRIVERS</t>
  </si>
  <si>
    <t>Loan Growth (%)</t>
  </si>
  <si>
    <t>Other Income Growth (%)</t>
  </si>
  <si>
    <t>COST DRIVERS</t>
  </si>
  <si>
    <t>Operating Expense Growth (%)</t>
  </si>
  <si>
    <t>RISK DRIVERS</t>
  </si>
  <si>
    <t>GNPA(%)</t>
  </si>
  <si>
    <t>Credit Cost (%)</t>
  </si>
  <si>
    <t>VALUATION</t>
  </si>
  <si>
    <t>P/E Multiple</t>
  </si>
  <si>
    <t>Net Interest Margin (%)</t>
  </si>
  <si>
    <t>Cost to Income Target (%)</t>
  </si>
  <si>
    <t>Efficiency</t>
  </si>
  <si>
    <t>Bad Loans</t>
  </si>
  <si>
    <t>11x</t>
  </si>
  <si>
    <t>Based on SBI guidance and stable credit demand in the Indian banking sector.</t>
  </si>
  <si>
    <t>In line with historical trend, assuming stable interest rate environment.</t>
  </si>
  <si>
    <t>Driven by growth in fee-based income and digital banking services.</t>
  </si>
  <si>
    <t>Controlled cost growth due to increasing digitalization and operational efficiency.</t>
  </si>
  <si>
    <t>Based on improving efficiency trend seen in past years.</t>
  </si>
  <si>
    <t>Reflects continued improvement in asset quality from previous levels.</t>
  </si>
  <si>
    <t>Assumes stable provisioning requirement with better loan quality.</t>
  </si>
  <si>
    <t>In line with typical valuation range of PSU banks in India.</t>
  </si>
  <si>
    <t>Income Growth rate</t>
  </si>
  <si>
    <t>Bull Case</t>
  </si>
  <si>
    <t>Base Case</t>
  </si>
  <si>
    <t>Bear Case</t>
  </si>
  <si>
    <t>(oe=oi*Cir)</t>
  </si>
  <si>
    <t>Cost to Income ratio is improving over year so we are taking 39% constant</t>
  </si>
  <si>
    <t xml:space="preserve">Cost to Income ratio </t>
  </si>
  <si>
    <t>Tax Rate %</t>
  </si>
  <si>
    <t>Interest Rate (%)</t>
  </si>
  <si>
    <t>Keeping Interest  and Tax rate as Average</t>
  </si>
  <si>
    <t>EPS</t>
  </si>
  <si>
    <t>Number of Shares in Cr</t>
  </si>
  <si>
    <t xml:space="preserve">Number of Shares </t>
  </si>
  <si>
    <t>Number of Share ( constant)</t>
  </si>
  <si>
    <t>Number of Share in Cr</t>
  </si>
  <si>
    <t>Target P/E</t>
  </si>
  <si>
    <t>Target Price</t>
  </si>
  <si>
    <t>Dividend Yield</t>
  </si>
  <si>
    <t>Total Expected Return</t>
  </si>
  <si>
    <t>Recommendation</t>
  </si>
  <si>
    <t>Typical range for PSU banks</t>
  </si>
  <si>
    <t>Dividend yield</t>
  </si>
  <si>
    <t>Price Return</t>
  </si>
  <si>
    <t>EPS Forward</t>
  </si>
  <si>
    <t xml:space="preserve">EQUITY RESEARCH ON SBI </t>
  </si>
  <si>
    <t>By Aban Keot</t>
  </si>
  <si>
    <t>Choose Financial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</si>
</sst>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409]mmm\-yy;@"/>
    <numFmt numFmtId="166" formatCode="_ * #,##0_ ;_ * \-#,##0_ ;_ * &quot;-&quot;??_ ;_ @_ "/>
    <numFmt numFmtId="167" formatCode="0.0%"/>
    <numFmt numFmtId="168" formatCode="0.0"/>
    <numFmt numFmtId="169" formatCode="#,##0.0;\(#,##0.0\)"/>
  </numFmts>
  <fonts count="1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sz val="11"/>
      <name val="Calibri"/>
      <family val="2"/>
      <scheme val="minor"/>
    </font>
    <font>
      <sz val="10"/>
      <color theme="7" tint="-0.249977111117893"/>
      <name val="Arial"/>
      <family val="2"/>
    </font>
    <font>
      <b/>
      <sz val="11"/>
      <color rgb="FF0275D8"/>
      <name val="Arial Black"/>
      <family val="2"/>
    </font>
    <font>
      <b/>
      <sz val="11"/>
      <color theme="1" tint="0.14999847407452621"/>
      <name val="Calibri"/>
      <family val="2"/>
      <scheme val="minor"/>
    </font>
    <font>
      <sz val="11"/>
      <color rgb="FF0070C0"/>
      <name val="Calibri"/>
      <family val="2"/>
      <scheme val="minor"/>
    </font>
    <font>
      <b/>
      <sz val="20"/>
      <color rgb="FF00B0F0"/>
      <name val="Sans Serif "/>
    </font>
    <font>
      <b/>
      <sz val="11"/>
      <color rgb="FF00B0F0"/>
      <name val="Sans Serif "/>
    </font>
  </fonts>
  <fills count="5">
    <fill>
      <patternFill patternType="none"/>
    </fill>
    <fill>
      <patternFill patternType="gray125"/>
    </fill>
    <fill>
      <patternFill patternType="solid">
        <fgColor rgb="FF0275D8"/>
        <bgColor indexed="64"/>
      </patternFill>
    </fill>
    <fill>
      <patternFill patternType="solid">
        <fgColor rgb="FF00B0F0"/>
        <bgColor indexed="64"/>
      </patternFill>
    </fill>
    <fill>
      <patternFill patternType="solid">
        <fgColor rgb="FFCCFFCC"/>
        <bgColor indexed="64"/>
      </patternFill>
    </fill>
  </fills>
  <borders count="10">
    <border>
      <left/>
      <right/>
      <top/>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right/>
      <top style="thin">
        <color indexed="64"/>
      </top>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67">
    <xf numFmtId="0" fontId="0" fillId="0" borderId="0" xfId="0"/>
    <xf numFmtId="164" fontId="1" fillId="0" borderId="0" xfId="1" applyFont="1" applyBorder="1"/>
    <xf numFmtId="164" fontId="0" fillId="0" borderId="0" xfId="1" applyFont="1" applyBorder="1"/>
    <xf numFmtId="164" fontId="3" fillId="0" borderId="0" xfId="1" applyFont="1" applyBorder="1"/>
    <xf numFmtId="165" fontId="2" fillId="2" borderId="0" xfId="0" applyNumberFormat="1" applyFont="1" applyFill="1" applyBorder="1" applyAlignment="1">
      <alignment horizontal="center"/>
    </xf>
    <xf numFmtId="165" fontId="2" fillId="2" borderId="0" xfId="1" applyNumberFormat="1" applyFont="1" applyFill="1" applyBorder="1"/>
    <xf numFmtId="165" fontId="4" fillId="0" borderId="0" xfId="1" applyNumberFormat="1" applyFont="1" applyFill="1" applyBorder="1"/>
    <xf numFmtId="1" fontId="0" fillId="0" borderId="0" xfId="1" applyNumberFormat="1" applyFont="1" applyBorder="1" applyAlignment="1">
      <alignment horizontal="right"/>
    </xf>
    <xf numFmtId="0" fontId="1" fillId="0" borderId="0" xfId="1" applyNumberFormat="1" applyFont="1" applyBorder="1"/>
    <xf numFmtId="166" fontId="1" fillId="0" borderId="0" xfId="1" applyNumberFormat="1" applyFont="1" applyBorder="1"/>
    <xf numFmtId="0" fontId="2" fillId="3" borderId="0" xfId="0" applyFont="1" applyFill="1"/>
    <xf numFmtId="165" fontId="2" fillId="3" borderId="0" xfId="0" applyNumberFormat="1" applyFont="1" applyFill="1"/>
    <xf numFmtId="0" fontId="2" fillId="2" borderId="0" xfId="0" applyFont="1" applyFill="1"/>
    <xf numFmtId="0" fontId="1" fillId="0" borderId="0" xfId="0" applyFont="1"/>
    <xf numFmtId="0" fontId="0" fillId="0" borderId="0" xfId="0" applyFont="1"/>
    <xf numFmtId="9" fontId="0" fillId="0" borderId="0" xfId="2" applyFont="1"/>
    <xf numFmtId="10" fontId="0" fillId="0" borderId="0" xfId="2" applyNumberFormat="1" applyFont="1"/>
    <xf numFmtId="0" fontId="0" fillId="0" borderId="1" xfId="0" applyBorder="1"/>
    <xf numFmtId="9" fontId="0" fillId="0" borderId="0" xfId="2" applyFont="1" applyAlignment="1">
      <alignment horizontal="left"/>
    </xf>
    <xf numFmtId="167" fontId="0" fillId="0" borderId="0" xfId="2" applyNumberFormat="1" applyFont="1" applyAlignment="1">
      <alignment horizontal="left"/>
    </xf>
    <xf numFmtId="9" fontId="0" fillId="0" borderId="0" xfId="2" applyNumberFormat="1" applyFont="1" applyAlignment="1">
      <alignment horizontal="left"/>
    </xf>
    <xf numFmtId="0" fontId="0" fillId="0" borderId="0" xfId="2" applyNumberFormat="1" applyFont="1" applyAlignment="1">
      <alignment horizontal="left"/>
    </xf>
    <xf numFmtId="9" fontId="0" fillId="0" borderId="0" xfId="0" applyNumberFormat="1"/>
    <xf numFmtId="2" fontId="0" fillId="0" borderId="0" xfId="0" applyNumberFormat="1"/>
    <xf numFmtId="0" fontId="0" fillId="0" borderId="0" xfId="0" applyNumberFormat="1"/>
    <xf numFmtId="0" fontId="0" fillId="0" borderId="0" xfId="0" applyBorder="1"/>
    <xf numFmtId="0" fontId="0" fillId="0" borderId="2" xfId="0" applyBorder="1"/>
    <xf numFmtId="9" fontId="0" fillId="0" borderId="3" xfId="2" applyFont="1" applyBorder="1" applyAlignment="1">
      <alignment horizontal="left"/>
    </xf>
    <xf numFmtId="0" fontId="0" fillId="0" borderId="4" xfId="0" applyBorder="1"/>
    <xf numFmtId="9" fontId="0" fillId="0" borderId="5" xfId="2" applyFont="1" applyBorder="1" applyAlignment="1">
      <alignment horizontal="left"/>
    </xf>
    <xf numFmtId="0" fontId="0" fillId="0" borderId="6" xfId="0" applyBorder="1"/>
    <xf numFmtId="9" fontId="0" fillId="0" borderId="7" xfId="2" applyFont="1" applyBorder="1" applyAlignment="1">
      <alignment horizontal="left"/>
    </xf>
    <xf numFmtId="9" fontId="8" fillId="0" borderId="0" xfId="2" applyFont="1" applyAlignment="1">
      <alignment horizontal="left"/>
    </xf>
    <xf numFmtId="0" fontId="1" fillId="0" borderId="8" xfId="0" applyFont="1" applyBorder="1"/>
    <xf numFmtId="0" fontId="1" fillId="0" borderId="9" xfId="0" applyFont="1" applyBorder="1"/>
    <xf numFmtId="0" fontId="0" fillId="0" borderId="0" xfId="1" applyNumberFormat="1" applyFont="1"/>
    <xf numFmtId="2" fontId="0" fillId="0" borderId="0" xfId="2" applyNumberFormat="1" applyFont="1" applyAlignment="1">
      <alignment horizontal="left"/>
    </xf>
    <xf numFmtId="0" fontId="0" fillId="0" borderId="0" xfId="0" applyFill="1"/>
    <xf numFmtId="168" fontId="0" fillId="0" borderId="0" xfId="0" applyNumberFormat="1" applyFill="1"/>
    <xf numFmtId="9" fontId="0" fillId="0" borderId="0" xfId="0" applyNumberFormat="1" applyFill="1"/>
    <xf numFmtId="9" fontId="0" fillId="0" borderId="0" xfId="2" applyFont="1" applyFill="1"/>
    <xf numFmtId="2" fontId="0" fillId="0" borderId="0" xfId="0" applyNumberFormat="1" applyFill="1"/>
    <xf numFmtId="165" fontId="7" fillId="4" borderId="0" xfId="0" applyNumberFormat="1" applyFont="1" applyFill="1"/>
    <xf numFmtId="0" fontId="1" fillId="0" borderId="0" xfId="0" applyFont="1" applyAlignment="1">
      <alignment horizontal="center" vertical="center"/>
    </xf>
    <xf numFmtId="165" fontId="1" fillId="0" borderId="0" xfId="0" applyNumberFormat="1" applyFont="1"/>
    <xf numFmtId="2" fontId="1" fillId="0" borderId="0" xfId="0" applyNumberFormat="1" applyFont="1"/>
    <xf numFmtId="0" fontId="9" fillId="0" borderId="0" xfId="0" applyFont="1" applyAlignment="1">
      <alignment vertical="center"/>
    </xf>
    <xf numFmtId="164" fontId="0" fillId="0" borderId="0" xfId="1" applyFont="1" applyBorder="1" applyAlignment="1">
      <alignment horizontal="right"/>
    </xf>
    <xf numFmtId="10" fontId="0" fillId="0" borderId="0" xfId="2" applyNumberFormat="1" applyFont="1" applyBorder="1" applyAlignment="1">
      <alignment horizontal="right"/>
    </xf>
    <xf numFmtId="164" fontId="0" fillId="0" borderId="0" xfId="1" applyFont="1" applyBorder="1" applyAlignment="1">
      <alignment horizontal="left"/>
    </xf>
    <xf numFmtId="166" fontId="0" fillId="0" borderId="0" xfId="1" applyNumberFormat="1" applyFont="1" applyBorder="1" applyAlignment="1">
      <alignment horizontal="center"/>
    </xf>
    <xf numFmtId="166" fontId="4" fillId="0" borderId="0" xfId="1" applyNumberFormat="1" applyFont="1" applyFill="1" applyBorder="1" applyAlignment="1">
      <alignment horizontal="center"/>
    </xf>
    <xf numFmtId="166" fontId="3" fillId="0" borderId="0" xfId="1" applyNumberFormat="1" applyFont="1" applyBorder="1" applyAlignment="1">
      <alignment horizontal="center"/>
    </xf>
    <xf numFmtId="166" fontId="1" fillId="0" borderId="0" xfId="1" applyNumberFormat="1" applyFont="1" applyBorder="1" applyAlignment="1">
      <alignment horizontal="center"/>
    </xf>
    <xf numFmtId="165" fontId="4" fillId="0" borderId="0" xfId="1" applyNumberFormat="1" applyFont="1" applyFill="1" applyBorder="1" applyAlignment="1">
      <alignment horizontal="left"/>
    </xf>
    <xf numFmtId="164" fontId="3" fillId="0" borderId="0" xfId="1" applyFont="1" applyBorder="1" applyAlignment="1">
      <alignment horizontal="left"/>
    </xf>
    <xf numFmtId="164" fontId="1" fillId="0" borderId="0" xfId="1" applyFont="1" applyBorder="1" applyAlignment="1">
      <alignment horizontal="left"/>
    </xf>
    <xf numFmtId="0" fontId="10" fillId="0" borderId="0" xfId="0" applyFont="1" applyAlignment="1">
      <alignment horizontal="right" vertical="center"/>
    </xf>
    <xf numFmtId="169" fontId="0" fillId="0" borderId="0" xfId="0" applyNumberFormat="1"/>
    <xf numFmtId="169" fontId="1" fillId="0" borderId="8" xfId="0" applyNumberFormat="1" applyFont="1" applyBorder="1"/>
    <xf numFmtId="0" fontId="9" fillId="0" borderId="0" xfId="0" applyFont="1" applyAlignment="1">
      <alignment horizontal="centerContinuous" vertical="center"/>
    </xf>
    <xf numFmtId="0" fontId="10" fillId="0" borderId="0" xfId="0" applyFont="1" applyAlignment="1">
      <alignment vertical="center"/>
    </xf>
    <xf numFmtId="0" fontId="5" fillId="0" borderId="0" xfId="0" applyFont="1" applyAlignment="1">
      <alignment horizontal="center" vertical="center" wrapText="1"/>
    </xf>
    <xf numFmtId="164" fontId="6" fillId="0" borderId="0" xfId="1" applyFont="1" applyBorder="1" applyAlignment="1">
      <alignment horizontal="center"/>
    </xf>
    <xf numFmtId="0" fontId="0" fillId="0" borderId="0" xfId="0" applyAlignment="1">
      <alignment horizontal="center"/>
    </xf>
    <xf numFmtId="0" fontId="1" fillId="0" borderId="0" xfId="0" applyFont="1" applyFill="1" applyAlignment="1"/>
    <xf numFmtId="0" fontId="1" fillId="0" borderId="0" xfId="0" applyFont="1" applyAlignment="1"/>
  </cellXfs>
  <cellStyles count="3">
    <cellStyle name="Comma" xfId="1" builtinId="3"/>
    <cellStyle name="Normal" xfId="0" builtinId="0"/>
    <cellStyle name="Percent" xfId="2"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Light16"/>
  <colors>
    <mruColors>
      <color rgb="FFCCFFCC"/>
      <color rgb="FF0275D8"/>
      <color rgb="FFCC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229519</xdr:colOff>
      <xdr:row>0</xdr:row>
      <xdr:rowOff>27542</xdr:rowOff>
    </xdr:from>
    <xdr:to>
      <xdr:col>1</xdr:col>
      <xdr:colOff>560025</xdr:colOff>
      <xdr:row>1</xdr:row>
      <xdr:rowOff>178894</xdr:rowOff>
    </xdr:to>
    <xdr:pic>
      <xdr:nvPicPr>
        <xdr:cNvPr id="2" name="Graphic 1">
          <a:extLst>
            <a:ext uri="{FF2B5EF4-FFF2-40B4-BE49-F238E27FC236}">
              <a16:creationId xmlns:a16="http://schemas.microsoft.com/office/drawing/2014/main" id="{949F3756-AFC5-4262-95E0-0BDF7C4A91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129929" y="27542"/>
          <a:ext cx="330506" cy="3349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0</xdr:colOff>
      <xdr:row>13</xdr:row>
      <xdr:rowOff>0</xdr:rowOff>
    </xdr:from>
    <xdr:to>
      <xdr:col>14</xdr:col>
      <xdr:colOff>304800</xdr:colOff>
      <xdr:row>14</xdr:row>
      <xdr:rowOff>121920</xdr:rowOff>
    </xdr:to>
    <xdr:sp macro="" textlink="">
      <xdr:nvSpPr>
        <xdr:cNvPr id="1025" name="AutoShape 1" descr="Free Sbi Logo Icon">
          <a:extLst>
            <a:ext uri="{FF2B5EF4-FFF2-40B4-BE49-F238E27FC236}">
              <a16:creationId xmlns:a16="http://schemas.microsoft.com/office/drawing/2014/main" id="{6662EDA9-5C36-404F-A0B4-5754BE2C1AD7}"/>
            </a:ext>
          </a:extLst>
        </xdr:cNvPr>
        <xdr:cNvSpPr>
          <a:spLocks noChangeAspect="1" noChangeArrowheads="1"/>
        </xdr:cNvSpPr>
      </xdr:nvSpPr>
      <xdr:spPr bwMode="auto">
        <a:xfrm>
          <a:off x="11765280" y="237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14</xdr:col>
      <xdr:colOff>0</xdr:colOff>
      <xdr:row>13</xdr:row>
      <xdr:rowOff>0</xdr:rowOff>
    </xdr:from>
    <xdr:to>
      <xdr:col>14</xdr:col>
      <xdr:colOff>304800</xdr:colOff>
      <xdr:row>14</xdr:row>
      <xdr:rowOff>121920</xdr:rowOff>
    </xdr:to>
    <xdr:sp macro="" textlink="">
      <xdr:nvSpPr>
        <xdr:cNvPr id="1026" name="AutoShape 2" descr="Free Sbi Logo Icon">
          <a:extLst>
            <a:ext uri="{FF2B5EF4-FFF2-40B4-BE49-F238E27FC236}">
              <a16:creationId xmlns:a16="http://schemas.microsoft.com/office/drawing/2014/main" id="{7BEA16E8-4183-4692-8F51-C41008DFC25E}"/>
            </a:ext>
          </a:extLst>
        </xdr:cNvPr>
        <xdr:cNvSpPr>
          <a:spLocks noChangeAspect="1" noChangeArrowheads="1"/>
        </xdr:cNvSpPr>
      </xdr:nvSpPr>
      <xdr:spPr bwMode="auto">
        <a:xfrm>
          <a:off x="11765280" y="2377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267195</xdr:colOff>
      <xdr:row>1</xdr:row>
      <xdr:rowOff>79170</xdr:rowOff>
    </xdr:from>
    <xdr:to>
      <xdr:col>1</xdr:col>
      <xdr:colOff>1039091</xdr:colOff>
      <xdr:row>5</xdr:row>
      <xdr:rowOff>59378</xdr:rowOff>
    </xdr:to>
    <xdr:pic>
      <xdr:nvPicPr>
        <xdr:cNvPr id="9" name="Graphic 8">
          <a:extLst>
            <a:ext uri="{FF2B5EF4-FFF2-40B4-BE49-F238E27FC236}">
              <a16:creationId xmlns:a16="http://schemas.microsoft.com/office/drawing/2014/main" id="{7630B100-B6CD-4E00-A021-0D85B07686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50026" y="257300"/>
          <a:ext cx="771896" cy="771896"/>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7"/>
  <sheetViews>
    <sheetView topLeftCell="A70" zoomScale="83" zoomScaleNormal="85" zoomScalePageLayoutView="120" workbookViewId="0">
      <selection activeCell="B55" sqref="B55:F82"/>
    </sheetView>
  </sheetViews>
  <sheetFormatPr defaultColWidth="8.77734375" defaultRowHeight="14.4"/>
  <cols>
    <col min="1" max="1" width="27.6640625" style="2" bestFit="1" customWidth="1"/>
    <col min="2" max="5" width="13.44140625" style="2" bestFit="1" customWidth="1"/>
    <col min="6" max="6" width="13.88671875" style="2" customWidth="1"/>
    <col min="7" max="7" width="34.6640625" style="49" customWidth="1"/>
    <col min="8" max="8" width="12.109375" style="50" customWidth="1"/>
    <col min="9" max="16384" width="8.77734375" style="2"/>
  </cols>
  <sheetData>
    <row r="1" spans="1:6">
      <c r="A1" s="63" t="s">
        <v>84</v>
      </c>
      <c r="B1" s="63"/>
      <c r="C1" s="63"/>
      <c r="D1" s="63"/>
      <c r="E1" s="63"/>
      <c r="F1" s="63"/>
    </row>
    <row r="2" spans="1:6">
      <c r="A2" s="63"/>
      <c r="B2" s="63"/>
      <c r="C2" s="63"/>
      <c r="D2" s="63"/>
      <c r="E2" s="63"/>
      <c r="F2" s="63"/>
    </row>
    <row r="3" spans="1:6">
      <c r="A3" s="62" t="s">
        <v>72</v>
      </c>
      <c r="B3" s="62"/>
      <c r="C3" s="62"/>
      <c r="D3" s="62"/>
      <c r="E3" s="62"/>
      <c r="F3" s="62"/>
    </row>
    <row r="4" spans="1:6">
      <c r="A4" s="62"/>
      <c r="B4" s="62"/>
      <c r="C4" s="62"/>
      <c r="D4" s="62"/>
      <c r="E4" s="62"/>
      <c r="F4" s="62"/>
    </row>
    <row r="5" spans="1:6" ht="14.4" customHeight="1">
      <c r="A5" s="62"/>
      <c r="B5" s="62"/>
      <c r="C5" s="62"/>
      <c r="D5" s="62"/>
      <c r="E5" s="62"/>
      <c r="F5" s="62"/>
    </row>
    <row r="6" spans="1:6">
      <c r="A6" s="62"/>
      <c r="B6" s="62"/>
      <c r="C6" s="62"/>
      <c r="D6" s="62"/>
      <c r="E6" s="62"/>
      <c r="F6" s="62"/>
    </row>
    <row r="7" spans="1:6">
      <c r="A7" s="1" t="s">
        <v>71</v>
      </c>
    </row>
    <row r="8" spans="1:6">
      <c r="A8" s="1" t="s">
        <v>24</v>
      </c>
    </row>
    <row r="9" spans="1:6">
      <c r="A9" s="2" t="s">
        <v>21</v>
      </c>
      <c r="B9" s="47">
        <f>B12/B11</f>
        <v>923.31530705774514</v>
      </c>
      <c r="C9" s="49" t="s">
        <v>73</v>
      </c>
    </row>
    <row r="10" spans="1:6">
      <c r="A10" s="2" t="s">
        <v>13</v>
      </c>
      <c r="B10" s="47">
        <v>1</v>
      </c>
      <c r="C10" s="49"/>
    </row>
    <row r="11" spans="1:6">
      <c r="A11" s="2" t="s">
        <v>22</v>
      </c>
      <c r="B11" s="47">
        <v>1091</v>
      </c>
      <c r="C11" s="49"/>
    </row>
    <row r="12" spans="1:6">
      <c r="A12" s="2" t="s">
        <v>32</v>
      </c>
      <c r="B12" s="7">
        <v>1007337</v>
      </c>
      <c r="C12" s="49" t="s">
        <v>73</v>
      </c>
    </row>
    <row r="13" spans="1:6">
      <c r="A13" s="2" t="s">
        <v>69</v>
      </c>
      <c r="B13" s="47" t="s">
        <v>75</v>
      </c>
    </row>
    <row r="14" spans="1:6">
      <c r="A14" s="2" t="s">
        <v>70</v>
      </c>
      <c r="B14" s="47" t="s">
        <v>74</v>
      </c>
    </row>
    <row r="15" spans="1:6">
      <c r="A15" s="2" t="s">
        <v>70</v>
      </c>
      <c r="B15" s="47">
        <v>15.9</v>
      </c>
    </row>
    <row r="16" spans="1:6">
      <c r="A16" s="2" t="s">
        <v>140</v>
      </c>
      <c r="B16" s="48">
        <f>B15/B11</f>
        <v>1.457378551787351E-2</v>
      </c>
    </row>
    <row r="18" spans="1:8">
      <c r="A18" s="1" t="s">
        <v>85</v>
      </c>
    </row>
    <row r="19" spans="1:8" s="6" customFormat="1">
      <c r="A19" s="5" t="s">
        <v>18</v>
      </c>
      <c r="B19" s="4">
        <v>44286</v>
      </c>
      <c r="C19" s="4">
        <v>44651</v>
      </c>
      <c r="D19" s="4">
        <v>45016</v>
      </c>
      <c r="E19" s="4">
        <v>45382</v>
      </c>
      <c r="F19" s="4">
        <v>45747</v>
      </c>
      <c r="G19" s="54"/>
      <c r="H19" s="51"/>
    </row>
    <row r="20" spans="1:8" s="3" customFormat="1">
      <c r="A20" s="3" t="s">
        <v>0</v>
      </c>
      <c r="B20" s="58">
        <v>278115.48</v>
      </c>
      <c r="C20" s="58">
        <v>289972.69</v>
      </c>
      <c r="D20" s="58">
        <v>350844.58</v>
      </c>
      <c r="E20" s="58">
        <v>439188.51</v>
      </c>
      <c r="F20" s="58">
        <v>490937.79</v>
      </c>
      <c r="G20" s="55"/>
      <c r="H20" s="52"/>
    </row>
    <row r="21" spans="1:8" s="3" customFormat="1">
      <c r="A21" s="2" t="s">
        <v>33</v>
      </c>
      <c r="B21" s="58">
        <v>1116.5</v>
      </c>
      <c r="C21" s="58">
        <v>1219.04</v>
      </c>
      <c r="D21" s="58">
        <v>1305.5899999999999</v>
      </c>
      <c r="E21" s="58">
        <v>1448.83</v>
      </c>
      <c r="F21" s="58">
        <v>1553.6</v>
      </c>
      <c r="G21" s="55"/>
      <c r="H21" s="52"/>
    </row>
    <row r="22" spans="1:8" s="3" customFormat="1">
      <c r="A22" s="2" t="s">
        <v>34</v>
      </c>
      <c r="B22" s="58">
        <v>54344.09</v>
      </c>
      <c r="C22" s="58">
        <v>61457.96</v>
      </c>
      <c r="D22" s="58">
        <v>61934.09</v>
      </c>
      <c r="E22" s="58">
        <v>83686.61</v>
      </c>
      <c r="F22" s="58">
        <v>70410.929999999993</v>
      </c>
      <c r="G22" s="55"/>
      <c r="H22" s="52"/>
    </row>
    <row r="23" spans="1:8" s="3" customFormat="1">
      <c r="A23" s="2" t="s">
        <v>35</v>
      </c>
      <c r="B23" s="58">
        <v>14050.25</v>
      </c>
      <c r="C23" s="58">
        <v>15354.12</v>
      </c>
      <c r="D23" s="58">
        <v>17241.04</v>
      </c>
      <c r="E23" s="58">
        <v>18170.919999999998</v>
      </c>
      <c r="F23" s="58">
        <v>21639.1</v>
      </c>
      <c r="G23" s="55"/>
      <c r="H23" s="52"/>
    </row>
    <row r="24" spans="1:8" s="3" customFormat="1">
      <c r="A24" s="2" t="s">
        <v>36</v>
      </c>
      <c r="B24" s="58">
        <v>123309.85</v>
      </c>
      <c r="C24" s="58">
        <v>119317.73</v>
      </c>
      <c r="D24" s="58">
        <v>123822.44</v>
      </c>
      <c r="E24" s="58">
        <v>136443.32</v>
      </c>
      <c r="F24" s="58">
        <v>158439.57999999999</v>
      </c>
      <c r="G24" s="55"/>
      <c r="H24" s="52"/>
    </row>
    <row r="25" spans="1:8" s="3" customFormat="1">
      <c r="A25" s="3" t="s">
        <v>1</v>
      </c>
      <c r="B25" s="58">
        <v>107222.41</v>
      </c>
      <c r="C25" s="58">
        <v>117000.4</v>
      </c>
      <c r="D25" s="58">
        <v>122533.56</v>
      </c>
      <c r="E25" s="58">
        <v>155386.39000000001</v>
      </c>
      <c r="F25" s="58">
        <v>172405.53</v>
      </c>
      <c r="G25" s="55"/>
      <c r="H25" s="52"/>
    </row>
    <row r="26" spans="1:8" s="3" customFormat="1">
      <c r="A26" s="3" t="s">
        <v>2</v>
      </c>
      <c r="B26" s="58">
        <v>3711.06</v>
      </c>
      <c r="C26" s="58">
        <v>3691.27</v>
      </c>
      <c r="D26" s="58">
        <v>3695.6</v>
      </c>
      <c r="E26" s="58">
        <v>3849.12</v>
      </c>
      <c r="F26" s="58">
        <v>3991.48</v>
      </c>
      <c r="G26" s="55"/>
      <c r="H26" s="52"/>
    </row>
    <row r="27" spans="1:8" s="3" customFormat="1">
      <c r="A27" s="3" t="s">
        <v>3</v>
      </c>
      <c r="B27" s="58">
        <v>156010.17000000001</v>
      </c>
      <c r="C27" s="58">
        <v>156194.34</v>
      </c>
      <c r="D27" s="58">
        <v>189980.82</v>
      </c>
      <c r="E27" s="58">
        <v>259736.05</v>
      </c>
      <c r="F27" s="58">
        <v>300943.34000000003</v>
      </c>
      <c r="G27" s="55"/>
      <c r="H27" s="52"/>
    </row>
    <row r="28" spans="1:8" s="3" customFormat="1">
      <c r="A28" s="3" t="s">
        <v>4</v>
      </c>
      <c r="B28" s="58">
        <v>32795.97</v>
      </c>
      <c r="C28" s="58">
        <v>49738.63</v>
      </c>
      <c r="D28" s="58">
        <v>75398.559999999998</v>
      </c>
      <c r="E28" s="58">
        <v>91240.05</v>
      </c>
      <c r="F28" s="58">
        <v>106365.29</v>
      </c>
      <c r="G28" s="55"/>
      <c r="H28" s="52"/>
    </row>
    <row r="29" spans="1:8" s="3" customFormat="1">
      <c r="A29" s="3" t="s">
        <v>5</v>
      </c>
      <c r="B29" s="58">
        <v>8516.25</v>
      </c>
      <c r="C29" s="58">
        <v>13382.46</v>
      </c>
      <c r="D29" s="58">
        <v>18840.13</v>
      </c>
      <c r="E29" s="58">
        <v>23101.79</v>
      </c>
      <c r="F29" s="58">
        <v>27348.14</v>
      </c>
      <c r="G29" s="55"/>
      <c r="H29" s="52"/>
    </row>
    <row r="30" spans="1:8" s="3" customFormat="1">
      <c r="A30" s="3" t="s">
        <v>6</v>
      </c>
      <c r="B30" s="58">
        <v>22405.46</v>
      </c>
      <c r="C30" s="58">
        <v>35373.879999999997</v>
      </c>
      <c r="D30" s="58">
        <v>55648.17</v>
      </c>
      <c r="E30" s="58">
        <v>67084.67</v>
      </c>
      <c r="F30" s="58">
        <v>77561.34</v>
      </c>
      <c r="G30" s="55"/>
      <c r="H30" s="52"/>
    </row>
    <row r="31" spans="1:8" s="3" customFormat="1">
      <c r="A31" s="3" t="s">
        <v>25</v>
      </c>
      <c r="B31" s="58">
        <v>3569.84</v>
      </c>
      <c r="C31" s="58">
        <v>6336.47</v>
      </c>
      <c r="D31" s="58">
        <v>10084.799999999999</v>
      </c>
      <c r="E31" s="58">
        <v>12226.7</v>
      </c>
      <c r="F31" s="58">
        <v>14190.11</v>
      </c>
      <c r="G31" s="55"/>
      <c r="H31" s="52"/>
    </row>
    <row r="32" spans="1:8">
      <c r="A32" s="3"/>
    </row>
    <row r="33" spans="1:8">
      <c r="A33" s="3"/>
    </row>
    <row r="34" spans="1:8">
      <c r="A34" s="1" t="s">
        <v>19</v>
      </c>
    </row>
    <row r="35" spans="1:8" s="6" customFormat="1">
      <c r="A35" s="5" t="s">
        <v>18</v>
      </c>
      <c r="B35" s="4">
        <v>44286</v>
      </c>
      <c r="C35" s="4">
        <v>44651</v>
      </c>
      <c r="D35" s="4">
        <v>45016</v>
      </c>
      <c r="E35" s="4">
        <v>45382</v>
      </c>
      <c r="F35" s="4">
        <v>45747</v>
      </c>
      <c r="G35" s="54"/>
      <c r="H35" s="51"/>
    </row>
    <row r="36" spans="1:8">
      <c r="A36" s="3" t="s">
        <v>7</v>
      </c>
      <c r="B36" s="58">
        <v>892.46</v>
      </c>
      <c r="C36" s="58">
        <v>892.46</v>
      </c>
      <c r="D36" s="58">
        <v>892.46</v>
      </c>
      <c r="E36" s="58">
        <v>892.46</v>
      </c>
      <c r="F36" s="58">
        <v>892.46</v>
      </c>
    </row>
    <row r="37" spans="1:8">
      <c r="A37" s="3" t="s">
        <v>8</v>
      </c>
      <c r="B37" s="58">
        <v>274669.09999999998</v>
      </c>
      <c r="C37" s="58">
        <v>304695.58</v>
      </c>
      <c r="D37" s="58">
        <v>358038.86</v>
      </c>
      <c r="E37" s="58">
        <v>414046.71</v>
      </c>
      <c r="F37" s="58">
        <v>486144.3</v>
      </c>
    </row>
    <row r="38" spans="1:8">
      <c r="A38" s="3" t="s">
        <v>26</v>
      </c>
      <c r="B38" s="58">
        <v>4149127.45</v>
      </c>
      <c r="C38" s="58">
        <v>4536570.38</v>
      </c>
      <c r="D38" s="58">
        <v>4989687.46</v>
      </c>
      <c r="E38" s="58">
        <v>5606146.9900000002</v>
      </c>
      <c r="F38" s="58">
        <v>6050755.2699999996</v>
      </c>
    </row>
    <row r="39" spans="1:8">
      <c r="A39" s="3" t="s">
        <v>27</v>
      </c>
      <c r="B39" s="58">
        <v>420925.83</v>
      </c>
      <c r="C39" s="58">
        <v>518719.42</v>
      </c>
      <c r="D39" s="58">
        <v>605795.73</v>
      </c>
      <c r="E39" s="58">
        <v>712669.43</v>
      </c>
      <c r="F39" s="58">
        <v>775937.87</v>
      </c>
    </row>
    <row r="40" spans="1:8" s="1" customFormat="1">
      <c r="A40" s="1" t="s">
        <v>9</v>
      </c>
      <c r="B40" s="58">
        <v>4845614.84</v>
      </c>
      <c r="C40" s="58">
        <v>5360877.84</v>
      </c>
      <c r="D40" s="58">
        <v>5954414.5099999998</v>
      </c>
      <c r="E40" s="58">
        <v>6733755.5899999999</v>
      </c>
      <c r="F40" s="58">
        <v>7313729.9000000004</v>
      </c>
      <c r="G40" s="56"/>
      <c r="H40" s="53"/>
    </row>
    <row r="41" spans="1:8">
      <c r="A41" s="3" t="s">
        <v>10</v>
      </c>
      <c r="B41" s="58">
        <v>41600.44</v>
      </c>
      <c r="C41" s="58">
        <v>41032.49</v>
      </c>
      <c r="D41" s="58">
        <v>45879.72</v>
      </c>
      <c r="E41" s="58">
        <v>46071.69</v>
      </c>
      <c r="F41" s="58">
        <v>47715.97</v>
      </c>
    </row>
    <row r="42" spans="1:8">
      <c r="A42" s="3" t="s">
        <v>11</v>
      </c>
      <c r="B42" s="58">
        <v>116.35</v>
      </c>
      <c r="C42" s="58">
        <v>27.57</v>
      </c>
      <c r="D42" s="58">
        <v>66.02</v>
      </c>
      <c r="E42" s="58">
        <v>42.45</v>
      </c>
      <c r="F42" s="58">
        <v>41.4</v>
      </c>
    </row>
    <row r="43" spans="1:8">
      <c r="A43" s="3" t="s">
        <v>12</v>
      </c>
      <c r="B43" s="58">
        <v>1595100.27</v>
      </c>
      <c r="C43" s="58">
        <v>1776489.9</v>
      </c>
      <c r="D43" s="58">
        <v>1913107.86</v>
      </c>
      <c r="E43" s="58">
        <v>2110548.23</v>
      </c>
      <c r="F43" s="58">
        <v>2205601.11</v>
      </c>
    </row>
    <row r="44" spans="1:8">
      <c r="A44" s="3" t="s">
        <v>28</v>
      </c>
      <c r="B44" s="58">
        <v>3208797.78</v>
      </c>
      <c r="C44" s="58">
        <v>3543327.88</v>
      </c>
      <c r="D44" s="58">
        <v>3995360.91</v>
      </c>
      <c r="E44" s="58">
        <v>4577093.22</v>
      </c>
      <c r="F44" s="58">
        <v>5060371.42</v>
      </c>
    </row>
    <row r="45" spans="1:8" s="1" customFormat="1">
      <c r="A45" s="1" t="s">
        <v>9</v>
      </c>
      <c r="B45" s="58">
        <v>4845614.84</v>
      </c>
      <c r="C45" s="58">
        <v>5360877.84</v>
      </c>
      <c r="D45" s="58">
        <v>5954414.5099999998</v>
      </c>
      <c r="E45" s="58">
        <v>6733755.5899999999</v>
      </c>
      <c r="F45" s="58">
        <v>7313729.9000000004</v>
      </c>
      <c r="G45" s="56"/>
      <c r="H45" s="53"/>
    </row>
    <row r="46" spans="1:8" s="3" customFormat="1">
      <c r="A46" s="3" t="s">
        <v>31</v>
      </c>
      <c r="B46" s="58"/>
      <c r="C46" s="58"/>
      <c r="D46" s="58"/>
      <c r="E46" s="58"/>
      <c r="F46" s="58"/>
      <c r="G46" s="55"/>
      <c r="H46" s="52"/>
    </row>
    <row r="47" spans="1:8">
      <c r="A47" s="3" t="s">
        <v>23</v>
      </c>
      <c r="B47" s="58"/>
      <c r="C47" s="58"/>
      <c r="D47" s="58"/>
      <c r="E47" s="58"/>
      <c r="F47" s="58"/>
    </row>
    <row r="48" spans="1:8">
      <c r="A48" s="2" t="s">
        <v>37</v>
      </c>
      <c r="B48" s="58">
        <v>189807.29</v>
      </c>
      <c r="C48" s="58">
        <v>296525.21000000002</v>
      </c>
      <c r="D48" s="58">
        <v>225692.63</v>
      </c>
      <c r="E48" s="58">
        <v>206766.69</v>
      </c>
      <c r="F48" s="58">
        <v>208893.69</v>
      </c>
    </row>
    <row r="49" spans="1:8">
      <c r="A49" s="2" t="s">
        <v>29</v>
      </c>
      <c r="B49" s="58">
        <v>8924611534</v>
      </c>
      <c r="C49" s="58">
        <v>8924611534</v>
      </c>
      <c r="D49" s="58">
        <v>8924611934</v>
      </c>
      <c r="E49" s="58">
        <v>8924611934</v>
      </c>
      <c r="F49" s="58">
        <v>8924620034</v>
      </c>
    </row>
    <row r="50" spans="1:8">
      <c r="A50" s="2" t="s">
        <v>30</v>
      </c>
    </row>
    <row r="51" spans="1:8">
      <c r="A51" s="2" t="s">
        <v>38</v>
      </c>
      <c r="B51">
        <v>1</v>
      </c>
      <c r="C51">
        <v>1</v>
      </c>
      <c r="D51">
        <v>1</v>
      </c>
      <c r="E51">
        <v>1</v>
      </c>
      <c r="F51">
        <v>1</v>
      </c>
    </row>
    <row r="53" spans="1:8">
      <c r="A53" s="1" t="s">
        <v>20</v>
      </c>
    </row>
    <row r="54" spans="1:8" s="6" customFormat="1">
      <c r="A54" s="5" t="s">
        <v>18</v>
      </c>
      <c r="B54" s="4">
        <v>44286</v>
      </c>
      <c r="C54" s="4">
        <v>44651</v>
      </c>
      <c r="D54" s="4">
        <v>45016</v>
      </c>
      <c r="E54" s="4">
        <v>45382</v>
      </c>
      <c r="F54" s="4">
        <v>45747</v>
      </c>
      <c r="G54" s="54"/>
      <c r="H54" s="51"/>
    </row>
    <row r="55" spans="1:8" s="1" customFormat="1">
      <c r="A55" t="s">
        <v>14</v>
      </c>
      <c r="B55" s="58">
        <v>89919</v>
      </c>
      <c r="C55" s="58">
        <v>57695</v>
      </c>
      <c r="D55" s="58">
        <v>-86014</v>
      </c>
      <c r="E55" s="58">
        <v>21632</v>
      </c>
      <c r="F55" s="58">
        <v>48486</v>
      </c>
      <c r="G55" s="56"/>
      <c r="H55" s="53"/>
    </row>
    <row r="56" spans="1:8" s="3" customFormat="1">
      <c r="A56" t="s">
        <v>39</v>
      </c>
      <c r="B56" s="58">
        <v>85734</v>
      </c>
      <c r="C56" s="58">
        <v>84334</v>
      </c>
      <c r="D56" s="58">
        <v>106669</v>
      </c>
      <c r="E56" s="58">
        <v>105124</v>
      </c>
      <c r="F56" s="58">
        <v>133615</v>
      </c>
      <c r="G56" s="55"/>
      <c r="H56" s="52"/>
    </row>
    <row r="57" spans="1:8" s="3" customFormat="1">
      <c r="A57" t="s">
        <v>40</v>
      </c>
      <c r="B57" s="58">
        <v>-156020</v>
      </c>
      <c r="C57" s="58">
        <v>-309323</v>
      </c>
      <c r="D57" s="58">
        <v>-484653</v>
      </c>
      <c r="E57" s="58">
        <v>-528612</v>
      </c>
      <c r="F57" s="58">
        <v>-485064</v>
      </c>
      <c r="G57" s="55"/>
      <c r="H57" s="52"/>
    </row>
    <row r="58" spans="1:8" s="1" customFormat="1">
      <c r="A58" t="s">
        <v>41</v>
      </c>
      <c r="B58" s="58">
        <v>-368800</v>
      </c>
      <c r="C58" s="58">
        <v>-183900</v>
      </c>
      <c r="D58" s="58">
        <v>-141597</v>
      </c>
      <c r="E58" s="58">
        <v>-190457</v>
      </c>
      <c r="F58" s="58">
        <v>-81891</v>
      </c>
      <c r="G58" s="56"/>
      <c r="H58" s="53"/>
    </row>
    <row r="59" spans="1:8">
      <c r="A59" t="s">
        <v>42</v>
      </c>
      <c r="B59" s="58">
        <v>90439</v>
      </c>
      <c r="C59" s="58">
        <v>11808</v>
      </c>
      <c r="D59" s="58">
        <v>54584</v>
      </c>
      <c r="E59" s="58">
        <v>112581</v>
      </c>
      <c r="F59" s="58">
        <v>-35148</v>
      </c>
    </row>
    <row r="60" spans="1:8">
      <c r="A60" t="s">
        <v>43</v>
      </c>
      <c r="B60" s="58">
        <v>441171</v>
      </c>
      <c r="C60" s="58">
        <v>372079</v>
      </c>
      <c r="D60" s="58">
        <v>381125</v>
      </c>
      <c r="E60" s="58">
        <v>498002</v>
      </c>
      <c r="F60" s="58">
        <v>473361</v>
      </c>
    </row>
    <row r="61" spans="1:8">
      <c r="A61" t="s">
        <v>44</v>
      </c>
      <c r="B61" s="58">
        <v>1216</v>
      </c>
      <c r="C61" s="58">
        <v>91720</v>
      </c>
      <c r="D61" s="58">
        <v>15182</v>
      </c>
      <c r="E61" s="58">
        <v>56263</v>
      </c>
      <c r="F61" s="58">
        <v>77375</v>
      </c>
    </row>
    <row r="62" spans="1:8">
      <c r="A62" t="s">
        <v>45</v>
      </c>
      <c r="B62" s="58">
        <v>8004</v>
      </c>
      <c r="C62" s="58">
        <v>-17615</v>
      </c>
      <c r="D62" s="58">
        <v>-175359</v>
      </c>
      <c r="E62" s="58">
        <v>-52223</v>
      </c>
      <c r="F62" s="58">
        <v>-51367</v>
      </c>
    </row>
    <row r="63" spans="1:8" s="1" customFormat="1">
      <c r="A63" t="s">
        <v>46</v>
      </c>
      <c r="B63" s="58">
        <v>-3819</v>
      </c>
      <c r="C63" s="58">
        <v>-9024</v>
      </c>
      <c r="D63" s="58">
        <v>-17324</v>
      </c>
      <c r="E63" s="58">
        <v>-31268</v>
      </c>
      <c r="F63" s="58">
        <v>-33761</v>
      </c>
      <c r="G63" s="56"/>
      <c r="H63" s="53"/>
    </row>
    <row r="64" spans="1:8">
      <c r="A64" t="s">
        <v>15</v>
      </c>
      <c r="B64" s="58">
        <v>-3670</v>
      </c>
      <c r="C64" s="58">
        <v>-2652</v>
      </c>
      <c r="D64" s="58">
        <v>-966</v>
      </c>
      <c r="E64" s="58">
        <v>-3476</v>
      </c>
      <c r="F64" s="58">
        <v>-3387</v>
      </c>
    </row>
    <row r="65" spans="1:8" s="1" customFormat="1">
      <c r="A65" t="s">
        <v>47</v>
      </c>
      <c r="B65" s="58">
        <v>-3910</v>
      </c>
      <c r="C65" s="58">
        <v>-3305</v>
      </c>
      <c r="D65" s="58">
        <v>0</v>
      </c>
      <c r="E65" s="58">
        <v>-4175</v>
      </c>
      <c r="F65" s="58">
        <v>-5637</v>
      </c>
      <c r="G65" s="56"/>
      <c r="H65" s="53"/>
    </row>
    <row r="66" spans="1:8">
      <c r="A66" t="s">
        <v>48</v>
      </c>
      <c r="B66" s="58">
        <v>82</v>
      </c>
      <c r="C66" s="58">
        <v>254</v>
      </c>
      <c r="D66" s="58">
        <v>0</v>
      </c>
      <c r="E66" s="58">
        <v>0</v>
      </c>
      <c r="F66" s="58">
        <v>0</v>
      </c>
    </row>
    <row r="67" spans="1:8">
      <c r="A67" t="s">
        <v>49</v>
      </c>
      <c r="B67" s="58">
        <v>0</v>
      </c>
      <c r="C67" s="58">
        <v>0</v>
      </c>
      <c r="D67" s="58">
        <v>0</v>
      </c>
      <c r="E67" s="58">
        <v>6</v>
      </c>
      <c r="F67" s="58">
        <v>9</v>
      </c>
    </row>
    <row r="68" spans="1:8">
      <c r="A68" t="s">
        <v>50</v>
      </c>
      <c r="B68" s="58">
        <v>3</v>
      </c>
      <c r="C68" s="58">
        <v>3</v>
      </c>
      <c r="D68" s="58">
        <v>3</v>
      </c>
      <c r="E68" s="58">
        <v>0</v>
      </c>
      <c r="F68" s="58">
        <v>0</v>
      </c>
    </row>
    <row r="69" spans="1:8">
      <c r="A69" t="s">
        <v>51</v>
      </c>
      <c r="B69" s="58">
        <v>-3177</v>
      </c>
      <c r="C69" s="58">
        <v>-583</v>
      </c>
      <c r="D69" s="58">
        <v>0</v>
      </c>
      <c r="E69" s="58">
        <v>0</v>
      </c>
      <c r="F69" s="58">
        <v>0</v>
      </c>
    </row>
    <row r="70" spans="1:8">
      <c r="A70" t="s">
        <v>52</v>
      </c>
      <c r="B70" s="58">
        <v>0</v>
      </c>
      <c r="C70" s="58">
        <v>0</v>
      </c>
      <c r="D70" s="58">
        <v>0</v>
      </c>
      <c r="E70" s="58">
        <v>0</v>
      </c>
      <c r="F70" s="58">
        <v>0</v>
      </c>
    </row>
    <row r="71" spans="1:8">
      <c r="A71" t="s">
        <v>53</v>
      </c>
      <c r="B71" s="58">
        <v>3520</v>
      </c>
      <c r="C71" s="58">
        <v>12</v>
      </c>
      <c r="D71" s="58">
        <v>0</v>
      </c>
      <c r="E71" s="58">
        <v>0</v>
      </c>
      <c r="F71" s="58">
        <v>1</v>
      </c>
    </row>
    <row r="72" spans="1:8">
      <c r="A72" t="s">
        <v>54</v>
      </c>
      <c r="B72" s="58">
        <v>-254</v>
      </c>
      <c r="C72" s="58">
        <v>0</v>
      </c>
      <c r="D72" s="58">
        <v>0</v>
      </c>
      <c r="E72" s="58">
        <v>-82</v>
      </c>
      <c r="F72" s="58">
        <v>-8</v>
      </c>
    </row>
    <row r="73" spans="1:8">
      <c r="A73" t="s">
        <v>55</v>
      </c>
      <c r="B73" s="58">
        <v>66</v>
      </c>
      <c r="C73" s="58">
        <v>966</v>
      </c>
      <c r="D73" s="58">
        <v>-969</v>
      </c>
      <c r="E73" s="58">
        <v>776</v>
      </c>
      <c r="F73" s="58">
        <v>2248</v>
      </c>
    </row>
    <row r="74" spans="1:8">
      <c r="A74" t="s">
        <v>16</v>
      </c>
      <c r="B74" s="58">
        <v>7143</v>
      </c>
      <c r="C74" s="58">
        <v>-3845</v>
      </c>
      <c r="D74" s="58">
        <v>6386</v>
      </c>
      <c r="E74" s="58">
        <v>-9896</v>
      </c>
      <c r="F74" s="58">
        <v>-13739</v>
      </c>
    </row>
    <row r="75" spans="1:8">
      <c r="A75" t="s">
        <v>56</v>
      </c>
      <c r="B75" s="58">
        <v>27431</v>
      </c>
      <c r="C75" s="58">
        <v>14074</v>
      </c>
      <c r="D75" s="58">
        <v>19533</v>
      </c>
      <c r="E75" s="58">
        <v>20165</v>
      </c>
      <c r="F75" s="58">
        <v>21500</v>
      </c>
    </row>
    <row r="76" spans="1:8">
      <c r="A76" t="s">
        <v>57</v>
      </c>
      <c r="B76" s="58">
        <v>0</v>
      </c>
      <c r="C76" s="58">
        <v>0</v>
      </c>
      <c r="D76" s="58">
        <v>0</v>
      </c>
      <c r="E76" s="58">
        <v>0</v>
      </c>
      <c r="F76" s="58">
        <v>0</v>
      </c>
    </row>
    <row r="77" spans="1:8">
      <c r="A77" t="s">
        <v>58</v>
      </c>
      <c r="B77" s="58">
        <v>-5069</v>
      </c>
      <c r="C77" s="58">
        <v>-5411</v>
      </c>
      <c r="D77" s="58">
        <v>-6325</v>
      </c>
      <c r="E77" s="58">
        <v>-8589</v>
      </c>
      <c r="F77" s="58">
        <v>-10271</v>
      </c>
    </row>
    <row r="78" spans="1:8">
      <c r="A78" t="s">
        <v>59</v>
      </c>
      <c r="B78" s="58">
        <v>0</v>
      </c>
      <c r="C78" s="58">
        <v>-3570</v>
      </c>
      <c r="D78" s="58">
        <v>-6337</v>
      </c>
      <c r="E78" s="58">
        <v>-10085</v>
      </c>
      <c r="F78" s="58">
        <v>-12227</v>
      </c>
    </row>
    <row r="79" spans="1:8">
      <c r="A79" t="s">
        <v>60</v>
      </c>
      <c r="B79" s="58">
        <v>0</v>
      </c>
      <c r="C79" s="58">
        <v>0</v>
      </c>
      <c r="D79" s="58">
        <v>0</v>
      </c>
      <c r="E79" s="58">
        <v>0</v>
      </c>
      <c r="F79" s="58">
        <v>0</v>
      </c>
    </row>
    <row r="80" spans="1:8">
      <c r="A80" t="s">
        <v>61</v>
      </c>
      <c r="B80" s="58">
        <v>-15219</v>
      </c>
      <c r="C80" s="58">
        <v>-8938</v>
      </c>
      <c r="D80" s="58">
        <v>-485</v>
      </c>
      <c r="E80" s="58">
        <v>-11387</v>
      </c>
      <c r="F80" s="58">
        <v>-12742</v>
      </c>
    </row>
    <row r="81" spans="1:6">
      <c r="A81" t="s">
        <v>17</v>
      </c>
      <c r="B81" s="58">
        <v>93392</v>
      </c>
      <c r="C81" s="58">
        <v>51198</v>
      </c>
      <c r="D81" s="58">
        <v>-80593</v>
      </c>
      <c r="E81" s="58">
        <v>8260</v>
      </c>
      <c r="F81" s="58">
        <v>31361</v>
      </c>
    </row>
    <row r="82" spans="1:6">
      <c r="A82" t="s">
        <v>62</v>
      </c>
      <c r="B82" s="58">
        <v>86091</v>
      </c>
      <c r="C82" s="58">
        <v>54644</v>
      </c>
      <c r="D82" s="58">
        <v>-86014</v>
      </c>
      <c r="E82" s="58">
        <v>17457</v>
      </c>
      <c r="F82" s="58">
        <v>42849</v>
      </c>
    </row>
    <row r="83" spans="1:6">
      <c r="A83" t="s">
        <v>63</v>
      </c>
      <c r="B83" t="s">
        <v>64</v>
      </c>
      <c r="C83" t="s">
        <v>65</v>
      </c>
      <c r="D83" t="s">
        <v>66</v>
      </c>
      <c r="E83" t="s">
        <v>67</v>
      </c>
      <c r="F83" t="s">
        <v>68</v>
      </c>
    </row>
    <row r="86" spans="1:6">
      <c r="A86" s="1" t="s">
        <v>76</v>
      </c>
    </row>
    <row r="87" spans="1:6">
      <c r="A87" s="1" t="s">
        <v>78</v>
      </c>
      <c r="B87" s="8">
        <v>2021</v>
      </c>
      <c r="C87" s="9">
        <v>2022</v>
      </c>
      <c r="D87" s="9">
        <v>2023</v>
      </c>
      <c r="E87" s="9">
        <v>2024</v>
      </c>
      <c r="F87" s="9">
        <v>2025</v>
      </c>
    </row>
    <row r="88" spans="1:6">
      <c r="A88" s="2" t="s">
        <v>77</v>
      </c>
      <c r="B88" s="2">
        <v>265150.63</v>
      </c>
      <c r="C88" s="2">
        <v>275457.28999999998</v>
      </c>
      <c r="D88" s="2">
        <v>332103.59999999998</v>
      </c>
      <c r="E88" s="2">
        <v>415130.66</v>
      </c>
      <c r="F88" s="2">
        <v>462489.35</v>
      </c>
    </row>
    <row r="89" spans="1:6">
      <c r="A89" s="2" t="s">
        <v>1</v>
      </c>
      <c r="B89" s="2">
        <v>41956.639999999999</v>
      </c>
      <c r="C89" s="2">
        <v>40563.910000000003</v>
      </c>
      <c r="D89" s="2">
        <v>36615.599999999999</v>
      </c>
      <c r="E89" s="2">
        <v>51682.16</v>
      </c>
      <c r="F89" s="2">
        <v>61683.06</v>
      </c>
    </row>
    <row r="90" spans="1:6">
      <c r="A90" s="2" t="s">
        <v>79</v>
      </c>
      <c r="B90" s="2">
        <f>B88+B89</f>
        <v>307107.27</v>
      </c>
      <c r="C90" s="2">
        <f>C88+C89</f>
        <v>316021.19999999995</v>
      </c>
      <c r="D90" s="2">
        <f>D88+D89</f>
        <v>368719.19999999995</v>
      </c>
      <c r="E90" s="2">
        <f>E88+E89</f>
        <v>466812.81999999995</v>
      </c>
      <c r="F90" s="2">
        <f>F88+F89</f>
        <v>524172.41</v>
      </c>
    </row>
    <row r="91" spans="1:6">
      <c r="A91" s="2" t="s">
        <v>80</v>
      </c>
    </row>
    <row r="92" spans="1:6">
      <c r="A92" s="2" t="s">
        <v>3</v>
      </c>
    </row>
    <row r="93" spans="1:6">
      <c r="A93" s="2" t="s">
        <v>81</v>
      </c>
      <c r="B93" s="2">
        <v>71554.149999999994</v>
      </c>
      <c r="C93" s="2">
        <v>67873.98</v>
      </c>
      <c r="D93" s="2">
        <v>83712.97</v>
      </c>
      <c r="E93" s="2">
        <v>86697.18</v>
      </c>
      <c r="F93" s="2">
        <v>110579.17</v>
      </c>
    </row>
    <row r="94" spans="1:6">
      <c r="A94" s="2" t="s">
        <v>2</v>
      </c>
    </row>
    <row r="95" spans="1:6">
      <c r="A95" s="2" t="s">
        <v>82</v>
      </c>
      <c r="B95" s="2">
        <f>B93-B94</f>
        <v>71554.149999999994</v>
      </c>
      <c r="C95" s="2">
        <f>C93-C94</f>
        <v>67873.98</v>
      </c>
      <c r="D95" s="2">
        <f>D93-D94</f>
        <v>83712.97</v>
      </c>
      <c r="E95" s="2">
        <f>E93-E94</f>
        <v>86697.18</v>
      </c>
      <c r="F95" s="2">
        <f>F93-F94</f>
        <v>110579.17</v>
      </c>
    </row>
    <row r="96" spans="1:6">
      <c r="A96" s="2" t="s">
        <v>5</v>
      </c>
      <c r="B96" s="2">
        <v>7130.65</v>
      </c>
      <c r="C96" s="2">
        <v>11745.87</v>
      </c>
      <c r="D96" s="2">
        <v>16973.189999999999</v>
      </c>
      <c r="E96" s="2">
        <v>20706.34</v>
      </c>
      <c r="F96" s="2">
        <v>24370.639999999999</v>
      </c>
    </row>
    <row r="97" spans="1:6">
      <c r="A97" s="2" t="s">
        <v>83</v>
      </c>
      <c r="B97" s="2">
        <f>B95-B96</f>
        <v>64423.499999999993</v>
      </c>
      <c r="C97" s="2">
        <f>C95-C96</f>
        <v>56128.109999999993</v>
      </c>
      <c r="D97" s="2">
        <f>D95-D96</f>
        <v>66739.78</v>
      </c>
      <c r="E97" s="2">
        <f>E95-E96</f>
        <v>65990.84</v>
      </c>
      <c r="F97" s="2">
        <f>F95-F96</f>
        <v>86208.53</v>
      </c>
    </row>
  </sheetData>
  <mergeCells count="2">
    <mergeCell ref="A3:F6"/>
    <mergeCell ref="A1:F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ABCAB-1F29-4327-A783-70DD361EA555}">
  <dimension ref="A2:L31"/>
  <sheetViews>
    <sheetView tabSelected="1" topLeftCell="A4" zoomScale="54" zoomScaleNormal="90" workbookViewId="0">
      <selection activeCell="R18" sqref="R18"/>
    </sheetView>
  </sheetViews>
  <sheetFormatPr defaultRowHeight="14.4"/>
  <cols>
    <col min="1" max="1" width="10" bestFit="1" customWidth="1"/>
    <col min="2" max="2" width="20.44140625" bestFit="1" customWidth="1"/>
    <col min="3" max="3" width="12.33203125" customWidth="1"/>
    <col min="4" max="4" width="13.6640625" bestFit="1" customWidth="1"/>
    <col min="5" max="5" width="12.33203125" customWidth="1"/>
    <col min="6" max="8" width="12.33203125" bestFit="1" customWidth="1"/>
    <col min="9" max="11" width="13.6640625" bestFit="1" customWidth="1"/>
    <col min="12" max="12" width="14.109375" customWidth="1"/>
  </cols>
  <sheetData>
    <row r="2" spans="1:12" ht="15.6" customHeight="1">
      <c r="B2" s="64"/>
      <c r="D2" s="46"/>
      <c r="E2" s="46"/>
      <c r="F2" s="46"/>
      <c r="G2" s="46"/>
      <c r="H2" s="46"/>
      <c r="I2" s="46"/>
      <c r="J2" s="46"/>
      <c r="K2" s="46"/>
      <c r="L2" s="46"/>
    </row>
    <row r="3" spans="1:12" ht="15.6" customHeight="1">
      <c r="B3" s="64"/>
      <c r="C3" s="46"/>
      <c r="D3" s="46"/>
      <c r="E3" s="46"/>
      <c r="F3" s="46"/>
      <c r="G3" s="46"/>
      <c r="H3" s="46"/>
      <c r="I3" s="46"/>
      <c r="J3" s="46"/>
      <c r="K3" s="46"/>
      <c r="L3" s="46"/>
    </row>
    <row r="4" spans="1:12" ht="15.6" customHeight="1">
      <c r="B4" s="64"/>
      <c r="C4" s="46"/>
      <c r="D4" s="46"/>
      <c r="E4" s="46"/>
      <c r="F4" s="46"/>
      <c r="G4" s="46"/>
      <c r="H4" s="46"/>
      <c r="I4" s="46"/>
      <c r="J4" s="46"/>
      <c r="K4" s="46"/>
      <c r="L4" s="46"/>
    </row>
    <row r="5" spans="1:12" ht="15.6" customHeight="1">
      <c r="B5" s="64"/>
      <c r="C5" s="46"/>
      <c r="D5" s="60" t="s">
        <v>143</v>
      </c>
      <c r="E5" s="60"/>
      <c r="F5" s="60"/>
      <c r="G5" s="60"/>
      <c r="H5" s="60"/>
      <c r="I5" s="60"/>
      <c r="J5" s="60"/>
      <c r="K5" s="46"/>
      <c r="L5" s="46"/>
    </row>
    <row r="6" spans="1:12" ht="15.6" customHeight="1">
      <c r="B6" s="64"/>
      <c r="C6" s="46"/>
      <c r="D6" s="46"/>
      <c r="E6" s="46"/>
      <c r="F6" s="46"/>
      <c r="G6" s="46"/>
      <c r="H6" s="46"/>
      <c r="I6" s="46"/>
      <c r="K6" s="61"/>
      <c r="L6" s="57" t="s">
        <v>144</v>
      </c>
    </row>
    <row r="7" spans="1:12">
      <c r="C7" s="66" t="s">
        <v>87</v>
      </c>
      <c r="D7" s="66"/>
      <c r="E7" s="66"/>
      <c r="F7" s="66"/>
      <c r="G7" s="66"/>
      <c r="H7" s="65" t="s">
        <v>86</v>
      </c>
      <c r="I7" s="65"/>
      <c r="J7" s="65"/>
      <c r="K7" s="65"/>
      <c r="L7" s="65"/>
    </row>
    <row r="8" spans="1:12">
      <c r="B8" s="10" t="s">
        <v>18</v>
      </c>
      <c r="C8" s="11">
        <v>44286</v>
      </c>
      <c r="D8" s="11">
        <v>44651</v>
      </c>
      <c r="E8" s="11">
        <v>45016</v>
      </c>
      <c r="F8" s="11">
        <v>45382</v>
      </c>
      <c r="G8" s="11">
        <v>45747</v>
      </c>
      <c r="H8" s="42">
        <v>46112</v>
      </c>
      <c r="I8" s="42">
        <v>46477</v>
      </c>
      <c r="J8" s="42">
        <v>46843</v>
      </c>
      <c r="K8" s="42">
        <v>47208</v>
      </c>
      <c r="L8" s="42">
        <v>47573</v>
      </c>
    </row>
    <row r="9" spans="1:12">
      <c r="B9" s="12" t="s">
        <v>76</v>
      </c>
      <c r="H9" s="37"/>
      <c r="I9" s="37"/>
      <c r="J9" s="37"/>
      <c r="K9" s="37"/>
      <c r="L9" s="37"/>
    </row>
    <row r="10" spans="1:12">
      <c r="H10" s="38"/>
      <c r="I10" s="37"/>
      <c r="J10" s="37"/>
      <c r="K10" s="37"/>
      <c r="L10" s="37"/>
    </row>
    <row r="11" spans="1:12">
      <c r="B11" s="14" t="s">
        <v>93</v>
      </c>
      <c r="C11" s="58">
        <f>'Data Sheet'!B20+'Data Sheet'!B25</f>
        <v>385337.89</v>
      </c>
      <c r="D11" s="58">
        <f>'Data Sheet'!C20+'Data Sheet'!C25</f>
        <v>406973.08999999997</v>
      </c>
      <c r="E11" s="58">
        <f>'Data Sheet'!D20+'Data Sheet'!D25</f>
        <v>473378.14</v>
      </c>
      <c r="F11" s="58">
        <f>'Data Sheet'!E20+'Data Sheet'!E25</f>
        <v>594574.9</v>
      </c>
      <c r="G11" s="58">
        <f>'Data Sheet'!F20+'Data Sheet'!F25</f>
        <v>663343.31999999995</v>
      </c>
      <c r="H11" s="58">
        <f>G11*(1+H12)</f>
        <v>749577.95159999991</v>
      </c>
      <c r="I11" s="58">
        <f t="shared" ref="I11:L11" si="0">H11*(1+I12)</f>
        <v>847023.08530799986</v>
      </c>
      <c r="J11" s="58">
        <f t="shared" si="0"/>
        <v>957136.08639803971</v>
      </c>
      <c r="K11" s="58">
        <f t="shared" si="0"/>
        <v>1081563.7776297848</v>
      </c>
      <c r="L11" s="58">
        <f t="shared" si="0"/>
        <v>1222167.0687216567</v>
      </c>
    </row>
    <row r="12" spans="1:12">
      <c r="B12" s="14" t="s">
        <v>119</v>
      </c>
      <c r="D12" s="15">
        <f>D11/C11-1</f>
        <v>5.6146048861169584E-2</v>
      </c>
      <c r="E12" s="15">
        <f t="shared" ref="E12:G12" si="1">E11/D11-1</f>
        <v>0.16316815934930751</v>
      </c>
      <c r="F12" s="15">
        <f t="shared" si="1"/>
        <v>0.25602525710207069</v>
      </c>
      <c r="G12" s="15">
        <f t="shared" si="1"/>
        <v>0.11565981005925408</v>
      </c>
      <c r="H12" s="39">
        <f>Assumptions!$C$5</f>
        <v>0.13</v>
      </c>
      <c r="I12" s="39">
        <f>Assumptions!$C$5</f>
        <v>0.13</v>
      </c>
      <c r="J12" s="39">
        <f>Assumptions!$C$5</f>
        <v>0.13</v>
      </c>
      <c r="K12" s="39">
        <f>Assumptions!$C$5</f>
        <v>0.13</v>
      </c>
      <c r="L12" s="39">
        <f>Assumptions!$C$5</f>
        <v>0.13</v>
      </c>
    </row>
    <row r="13" spans="1:12">
      <c r="A13" t="s">
        <v>123</v>
      </c>
      <c r="B13" t="s">
        <v>94</v>
      </c>
      <c r="C13" s="58">
        <f>SUM('Data Sheet'!B21:B24)+('Data Sheet'!B26)</f>
        <v>196531.75</v>
      </c>
      <c r="D13" s="58">
        <f>SUM('Data Sheet'!C21:C24)+('Data Sheet'!C26)</f>
        <v>201040.11999999997</v>
      </c>
      <c r="E13" s="58">
        <f>SUM('Data Sheet'!D21:D24)+('Data Sheet'!D26)</f>
        <v>207998.76</v>
      </c>
      <c r="F13" s="58">
        <f>SUM('Data Sheet'!E21:E24)+('Data Sheet'!E26)</f>
        <v>243598.8</v>
      </c>
      <c r="G13" s="58">
        <f>SUM('Data Sheet'!F21:F24)+('Data Sheet'!F26)</f>
        <v>256034.69</v>
      </c>
      <c r="H13" s="58">
        <f>H11*H14</f>
        <v>292335.40112399997</v>
      </c>
      <c r="I13" s="58">
        <f t="shared" ref="I13:L13" si="2">I11*I14</f>
        <v>330339.00327011995</v>
      </c>
      <c r="J13" s="58">
        <f t="shared" si="2"/>
        <v>373283.07369523548</v>
      </c>
      <c r="K13" s="58">
        <f t="shared" si="2"/>
        <v>421809.87327561609</v>
      </c>
      <c r="L13" s="58">
        <f t="shared" si="2"/>
        <v>476645.15680144611</v>
      </c>
    </row>
    <row r="14" spans="1:12">
      <c r="B14" t="s">
        <v>95</v>
      </c>
      <c r="C14" s="15">
        <f>C13/C11</f>
        <v>0.51002446190796336</v>
      </c>
      <c r="D14" s="15">
        <f t="shared" ref="D14:G14" si="3">D13/D11</f>
        <v>0.49398873031138246</v>
      </c>
      <c r="E14" s="15">
        <f t="shared" si="3"/>
        <v>0.43939240624841697</v>
      </c>
      <c r="F14" s="15">
        <f t="shared" si="3"/>
        <v>0.40970246137198185</v>
      </c>
      <c r="G14" s="15">
        <f t="shared" si="3"/>
        <v>0.38597613374624773</v>
      </c>
      <c r="H14" s="40">
        <f>Assumptions!$C$32</f>
        <v>0.39</v>
      </c>
      <c r="I14" s="40">
        <f>Assumptions!$C$32</f>
        <v>0.39</v>
      </c>
      <c r="J14" s="40">
        <f>Assumptions!$C$32</f>
        <v>0.39</v>
      </c>
      <c r="K14" s="40">
        <f>Assumptions!$C$32</f>
        <v>0.39</v>
      </c>
      <c r="L14" s="40">
        <f>Assumptions!$C$32</f>
        <v>0.39</v>
      </c>
    </row>
    <row r="15" spans="1:12">
      <c r="C15" s="15"/>
      <c r="D15" s="15"/>
      <c r="E15" s="15"/>
      <c r="F15" s="15"/>
      <c r="G15" s="15"/>
      <c r="H15" s="37"/>
      <c r="I15" s="37"/>
      <c r="J15" s="37"/>
      <c r="K15" s="37"/>
      <c r="L15" s="37"/>
    </row>
    <row r="16" spans="1:12">
      <c r="B16" s="34" t="s">
        <v>88</v>
      </c>
      <c r="C16" s="58">
        <f>C11-C13</f>
        <v>188806.14</v>
      </c>
      <c r="D16" s="58">
        <f t="shared" ref="D16:G16" si="4">D11-D13</f>
        <v>205932.97</v>
      </c>
      <c r="E16" s="58">
        <f t="shared" si="4"/>
        <v>265379.38</v>
      </c>
      <c r="F16" s="58">
        <f t="shared" si="4"/>
        <v>350976.10000000003</v>
      </c>
      <c r="G16" s="58">
        <f t="shared" si="4"/>
        <v>407308.62999999995</v>
      </c>
      <c r="H16" s="58">
        <f>H11-H13</f>
        <v>457242.55047599995</v>
      </c>
      <c r="I16" s="58">
        <f t="shared" ref="I16:L16" si="5">I11-I13</f>
        <v>516684.08203787991</v>
      </c>
      <c r="J16" s="58">
        <f t="shared" si="5"/>
        <v>583853.01270280429</v>
      </c>
      <c r="K16" s="58">
        <f t="shared" si="5"/>
        <v>659753.90435416868</v>
      </c>
      <c r="L16" s="58">
        <f t="shared" si="5"/>
        <v>745521.91192021058</v>
      </c>
    </row>
    <row r="17" spans="2:12">
      <c r="B17" t="s">
        <v>89</v>
      </c>
      <c r="C17" s="15">
        <f>C16/C11</f>
        <v>0.48997553809203659</v>
      </c>
      <c r="D17" s="15">
        <f t="shared" ref="D17:G17" si="6">D16/D11</f>
        <v>0.50601126968861754</v>
      </c>
      <c r="E17" s="15">
        <f t="shared" si="6"/>
        <v>0.56060759375158298</v>
      </c>
      <c r="F17" s="15">
        <f t="shared" si="6"/>
        <v>0.59029753862801815</v>
      </c>
      <c r="G17" s="15">
        <f t="shared" si="6"/>
        <v>0.61402386625375227</v>
      </c>
      <c r="H17" s="40">
        <f>H16/H11</f>
        <v>0.61</v>
      </c>
      <c r="I17" s="40">
        <f t="shared" ref="I17:L17" si="7">I16/I11</f>
        <v>0.61</v>
      </c>
      <c r="J17" s="40">
        <f t="shared" si="7"/>
        <v>0.6100000000000001</v>
      </c>
      <c r="K17" s="40">
        <f t="shared" si="7"/>
        <v>0.61</v>
      </c>
      <c r="L17" s="40">
        <f t="shared" si="7"/>
        <v>0.61</v>
      </c>
    </row>
    <row r="18" spans="2:12">
      <c r="H18" s="37"/>
      <c r="I18" s="37"/>
      <c r="J18" s="37"/>
      <c r="K18" s="37"/>
      <c r="L18" s="37"/>
    </row>
    <row r="19" spans="2:12">
      <c r="B19" t="s">
        <v>90</v>
      </c>
      <c r="C19" s="58">
        <f>'Data Sheet'!B27</f>
        <v>156010.17000000001</v>
      </c>
      <c r="D19" s="58">
        <f>'Data Sheet'!C27</f>
        <v>156194.34</v>
      </c>
      <c r="E19" s="58">
        <f>'Data Sheet'!D27</f>
        <v>189980.82</v>
      </c>
      <c r="F19" s="58">
        <f>'Data Sheet'!E27</f>
        <v>259736.05</v>
      </c>
      <c r="G19" s="58">
        <f>'Data Sheet'!F27</f>
        <v>300943.34000000003</v>
      </c>
      <c r="H19" s="58">
        <f>H11*H20</f>
        <v>311901.02952333342</v>
      </c>
      <c r="I19" s="58">
        <f t="shared" ref="I19:L19" si="8">I11*I20</f>
        <v>352448.16336136672</v>
      </c>
      <c r="J19" s="58">
        <f t="shared" si="8"/>
        <v>398266.42459834431</v>
      </c>
      <c r="K19" s="58">
        <f t="shared" si="8"/>
        <v>450041.05979612906</v>
      </c>
      <c r="L19" s="58">
        <f t="shared" si="8"/>
        <v>508546.39756962581</v>
      </c>
    </row>
    <row r="20" spans="2:12">
      <c r="B20" t="s">
        <v>127</v>
      </c>
      <c r="C20" s="15">
        <f>C19/C11</f>
        <v>0.40486589574671727</v>
      </c>
      <c r="D20" s="15">
        <f t="shared" ref="D20:G20" si="9">D19/D11</f>
        <v>0.38379525289989075</v>
      </c>
      <c r="E20" s="15">
        <f t="shared" si="9"/>
        <v>0.40132993889409424</v>
      </c>
      <c r="F20" s="15">
        <f t="shared" si="9"/>
        <v>0.43684328080448731</v>
      </c>
      <c r="G20" s="15">
        <f t="shared" si="9"/>
        <v>0.45367659690912399</v>
      </c>
      <c r="H20" s="39">
        <f>Assumptions!$C$35</f>
        <v>0.41610219305086271</v>
      </c>
      <c r="I20" s="39">
        <f>Assumptions!$C$35</f>
        <v>0.41610219305086271</v>
      </c>
      <c r="J20" s="39">
        <f>Assumptions!$C$35</f>
        <v>0.41610219305086271</v>
      </c>
      <c r="K20" s="39">
        <f>Assumptions!$C$35</f>
        <v>0.41610219305086271</v>
      </c>
      <c r="L20" s="39">
        <f>Assumptions!$C$35</f>
        <v>0.41610219305086271</v>
      </c>
    </row>
    <row r="21" spans="2:12">
      <c r="H21" s="37"/>
      <c r="I21" s="37"/>
      <c r="J21" s="37"/>
      <c r="K21" s="37"/>
      <c r="L21" s="37"/>
    </row>
    <row r="22" spans="2:12">
      <c r="B22" s="34" t="s">
        <v>91</v>
      </c>
      <c r="C22" s="58">
        <f>C16-C19</f>
        <v>32795.97</v>
      </c>
      <c r="D22" s="58">
        <f t="shared" ref="D22:G22" si="10">D16-D19</f>
        <v>49738.630000000005</v>
      </c>
      <c r="E22" s="58">
        <f t="shared" si="10"/>
        <v>75398.559999999998</v>
      </c>
      <c r="F22" s="58">
        <f t="shared" si="10"/>
        <v>91240.050000000047</v>
      </c>
      <c r="G22" s="58">
        <f t="shared" si="10"/>
        <v>106365.28999999992</v>
      </c>
      <c r="H22" s="58">
        <f>H16-H19</f>
        <v>145341.52095266653</v>
      </c>
      <c r="I22" s="58">
        <f t="shared" ref="I22:L22" si="11">I16-I19</f>
        <v>164235.91867651319</v>
      </c>
      <c r="J22" s="58">
        <f t="shared" si="11"/>
        <v>185586.58810445998</v>
      </c>
      <c r="K22" s="58">
        <f t="shared" si="11"/>
        <v>209712.84455803962</v>
      </c>
      <c r="L22" s="58">
        <f t="shared" si="11"/>
        <v>236975.51435058477</v>
      </c>
    </row>
    <row r="23" spans="2:12">
      <c r="B23" t="s">
        <v>92</v>
      </c>
      <c r="C23" s="15">
        <f>C22/C11</f>
        <v>8.5109642345319328E-2</v>
      </c>
      <c r="D23" s="15">
        <f t="shared" ref="D23:F23" si="12">D22/D11</f>
        <v>0.12221601678872676</v>
      </c>
      <c r="E23" s="15">
        <f t="shared" si="12"/>
        <v>0.15927765485748877</v>
      </c>
      <c r="F23" s="15">
        <f t="shared" si="12"/>
        <v>0.15345425782353081</v>
      </c>
      <c r="G23" s="15">
        <f>G22/G11</f>
        <v>0.16034726934462826</v>
      </c>
      <c r="H23" s="40">
        <f>H22/H11</f>
        <v>0.19389780694913725</v>
      </c>
      <c r="I23" s="40">
        <f t="shared" ref="I23:L23" si="13">I22/I11</f>
        <v>0.19389780694913727</v>
      </c>
      <c r="J23" s="40">
        <f t="shared" si="13"/>
        <v>0.19389780694913739</v>
      </c>
      <c r="K23" s="40">
        <f t="shared" si="13"/>
        <v>0.19389780694913725</v>
      </c>
      <c r="L23" s="40">
        <f t="shared" si="13"/>
        <v>0.19389780694913727</v>
      </c>
    </row>
    <row r="24" spans="2:12">
      <c r="H24" s="37"/>
      <c r="I24" s="37"/>
      <c r="J24" s="37"/>
      <c r="K24" s="37"/>
      <c r="L24" s="37"/>
    </row>
    <row r="25" spans="2:12">
      <c r="B25" t="s">
        <v>5</v>
      </c>
      <c r="C25" s="58">
        <f>'Data Sheet'!B29</f>
        <v>8516.25</v>
      </c>
      <c r="D25" s="58">
        <f>'Data Sheet'!C29</f>
        <v>13382.46</v>
      </c>
      <c r="E25" s="58">
        <f>'Data Sheet'!D29</f>
        <v>18840.13</v>
      </c>
      <c r="F25" s="58">
        <f>'Data Sheet'!E29</f>
        <v>23101.79</v>
      </c>
      <c r="G25" s="58">
        <f>'Data Sheet'!F29</f>
        <v>27348.14</v>
      </c>
      <c r="H25" s="58">
        <f>H22*H26</f>
        <v>37466.613499740175</v>
      </c>
      <c r="I25" s="58">
        <f t="shared" ref="I25:L25" si="14">I22*I26</f>
        <v>42337.273254706408</v>
      </c>
      <c r="J25" s="58">
        <f t="shared" si="14"/>
        <v>47841.118777818258</v>
      </c>
      <c r="K25" s="58">
        <f t="shared" si="14"/>
        <v>54060.46421893459</v>
      </c>
      <c r="L25" s="58">
        <f t="shared" si="14"/>
        <v>61088.324567396085</v>
      </c>
    </row>
    <row r="26" spans="2:12">
      <c r="B26" t="s">
        <v>126</v>
      </c>
      <c r="C26" s="15">
        <f>C25/C22</f>
        <v>0.25967367332022806</v>
      </c>
      <c r="D26" s="15">
        <f t="shared" ref="D26:G26" si="15">D25/D22</f>
        <v>0.26905566156526622</v>
      </c>
      <c r="E26" s="15">
        <f t="shared" si="15"/>
        <v>0.24987387027020147</v>
      </c>
      <c r="F26" s="15">
        <f t="shared" si="15"/>
        <v>0.25319791034748435</v>
      </c>
      <c r="G26" s="15">
        <f t="shared" si="15"/>
        <v>0.25711526758400244</v>
      </c>
      <c r="H26" s="39">
        <f>Assumptions!$C$36</f>
        <v>0.2577832766174365</v>
      </c>
      <c r="I26" s="39">
        <f>Assumptions!$C$36</f>
        <v>0.2577832766174365</v>
      </c>
      <c r="J26" s="39">
        <f>Assumptions!$C$36</f>
        <v>0.2577832766174365</v>
      </c>
      <c r="K26" s="39">
        <f>Assumptions!$C$36</f>
        <v>0.2577832766174365</v>
      </c>
      <c r="L26" s="39">
        <f>Assumptions!$C$36</f>
        <v>0.2577832766174365</v>
      </c>
    </row>
    <row r="27" spans="2:12" ht="15" thickBot="1">
      <c r="B27" s="33" t="s">
        <v>83</v>
      </c>
      <c r="C27" s="59">
        <f>C22-C25</f>
        <v>24279.72</v>
      </c>
      <c r="D27" s="59">
        <f t="shared" ref="D27:G27" si="16">D22-D25</f>
        <v>36356.170000000006</v>
      </c>
      <c r="E27" s="59">
        <f t="shared" si="16"/>
        <v>56558.429999999993</v>
      </c>
      <c r="F27" s="59">
        <f t="shared" si="16"/>
        <v>68138.260000000038</v>
      </c>
      <c r="G27" s="59">
        <f t="shared" si="16"/>
        <v>79017.149999999921</v>
      </c>
      <c r="H27" s="59">
        <f>G27*(1+Assumptions!$C$5)</f>
        <v>89289.379499999908</v>
      </c>
      <c r="I27" s="59">
        <f>H27*(1+Assumptions!$C$5)</f>
        <v>100896.99883499989</v>
      </c>
      <c r="J27" s="59">
        <f>I27*(1+Assumptions!$C$5)</f>
        <v>114013.60868354986</v>
      </c>
      <c r="K27" s="59">
        <f>J27*(1+Assumptions!$C$5)</f>
        <v>128835.37781241133</v>
      </c>
      <c r="L27" s="59">
        <f>K27*(1+Assumptions!$C$5)</f>
        <v>145583.97692802479</v>
      </c>
    </row>
    <row r="28" spans="2:12" ht="15" thickTop="1">
      <c r="H28" s="37"/>
      <c r="I28" s="37"/>
      <c r="J28" s="37"/>
      <c r="K28" s="37"/>
      <c r="L28" s="37"/>
    </row>
    <row r="29" spans="2:12">
      <c r="B29" t="s">
        <v>131</v>
      </c>
      <c r="C29">
        <f>'Data Sheet'!B49</f>
        <v>8924611534</v>
      </c>
      <c r="D29" s="35">
        <f>'Data Sheet'!C49</f>
        <v>8924611534</v>
      </c>
      <c r="E29" s="24">
        <f>'Data Sheet'!D49</f>
        <v>8924611934</v>
      </c>
      <c r="F29" s="24">
        <f>'Data Sheet'!E49</f>
        <v>8924611934</v>
      </c>
      <c r="G29" s="24">
        <f>'Data Sheet'!F49</f>
        <v>8924620034</v>
      </c>
      <c r="H29" s="37">
        <f>Assumptions!$C$37</f>
        <v>8924620034</v>
      </c>
      <c r="I29" s="37">
        <f>Assumptions!$C$37</f>
        <v>8924620034</v>
      </c>
      <c r="J29" s="37">
        <f>Assumptions!$C$37</f>
        <v>8924620034</v>
      </c>
      <c r="K29" s="37">
        <f>Assumptions!$C$37</f>
        <v>8924620034</v>
      </c>
      <c r="L29" s="37">
        <f>Assumptions!$C$37</f>
        <v>8924620034</v>
      </c>
    </row>
    <row r="30" spans="2:12">
      <c r="B30" t="s">
        <v>130</v>
      </c>
      <c r="C30" s="23">
        <f>C29/10000000</f>
        <v>892.46115339999994</v>
      </c>
      <c r="D30" s="23">
        <f t="shared" ref="D30:G30" si="17">D29/10000000</f>
        <v>892.46115339999994</v>
      </c>
      <c r="E30" s="23">
        <f t="shared" si="17"/>
        <v>892.46119339999996</v>
      </c>
      <c r="F30" s="23">
        <f t="shared" si="17"/>
        <v>892.46119339999996</v>
      </c>
      <c r="G30" s="23">
        <f t="shared" si="17"/>
        <v>892.46200339999996</v>
      </c>
      <c r="H30" s="41">
        <f>Assumptions!$C$38</f>
        <v>892.46200339999996</v>
      </c>
      <c r="I30" s="41">
        <f>Assumptions!$C$38</f>
        <v>892.46200339999996</v>
      </c>
      <c r="J30" s="41">
        <f>Assumptions!$C$38</f>
        <v>892.46200339999996</v>
      </c>
      <c r="K30" s="41">
        <f>Assumptions!$C$38</f>
        <v>892.46200339999996</v>
      </c>
      <c r="L30" s="41">
        <f>Assumptions!$C$38</f>
        <v>892.46200339999996</v>
      </c>
    </row>
    <row r="31" spans="2:12">
      <c r="B31" t="s">
        <v>129</v>
      </c>
      <c r="C31" s="23">
        <f>C27/C30</f>
        <v>27.205352196565425</v>
      </c>
      <c r="D31" s="23">
        <f t="shared" ref="D31:G31" si="18">D27/D30</f>
        <v>40.736977583275511</v>
      </c>
      <c r="E31" s="23">
        <f t="shared" si="18"/>
        <v>63.373545447427176</v>
      </c>
      <c r="F31" s="23">
        <f t="shared" si="18"/>
        <v>76.348709057493508</v>
      </c>
      <c r="G31" s="23">
        <f t="shared" si="18"/>
        <v>88.538391213261065</v>
      </c>
      <c r="H31" s="41">
        <f t="shared" ref="H31" si="19">H27/H30</f>
        <v>100.048382070985</v>
      </c>
      <c r="I31" s="41">
        <f t="shared" ref="I31" si="20">I27/I30</f>
        <v>113.05467174021304</v>
      </c>
      <c r="J31" s="41">
        <f t="shared" ref="J31" si="21">J27/J30</f>
        <v>127.75177906644072</v>
      </c>
      <c r="K31" s="41">
        <f t="shared" ref="K31" si="22">K27/K30</f>
        <v>144.35951034507801</v>
      </c>
      <c r="L31" s="41">
        <f t="shared" ref="L31" si="23">L27/L30</f>
        <v>163.12624668993811</v>
      </c>
    </row>
  </sheetData>
  <mergeCells count="1">
    <mergeCell ref="B2:B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D9F47-2B00-4396-A6D6-EE7EDE031834}">
  <dimension ref="A1:D38"/>
  <sheetViews>
    <sheetView topLeftCell="A34" workbookViewId="0">
      <selection activeCell="C11" sqref="C11"/>
    </sheetView>
  </sheetViews>
  <sheetFormatPr defaultRowHeight="14.4"/>
  <cols>
    <col min="1" max="1" width="12.6640625" bestFit="1" customWidth="1"/>
    <col min="2" max="2" width="26.109375" bestFit="1" customWidth="1"/>
    <col min="3" max="3" width="11" style="21" bestFit="1" customWidth="1"/>
  </cols>
  <sheetData>
    <row r="1" spans="2:4">
      <c r="C1" s="18"/>
    </row>
    <row r="2" spans="2:4">
      <c r="C2" s="18"/>
    </row>
    <row r="3" spans="2:4">
      <c r="C3" s="18"/>
    </row>
    <row r="4" spans="2:4">
      <c r="B4" t="s">
        <v>96</v>
      </c>
      <c r="C4" s="18"/>
    </row>
    <row r="5" spans="2:4" ht="15" thickBot="1">
      <c r="B5" t="s">
        <v>97</v>
      </c>
      <c r="C5" s="32">
        <v>0.13</v>
      </c>
      <c r="D5" s="17" t="s">
        <v>111</v>
      </c>
    </row>
    <row r="6" spans="2:4">
      <c r="B6" s="26" t="s">
        <v>120</v>
      </c>
      <c r="C6" s="27">
        <v>0.15</v>
      </c>
      <c r="D6" s="25"/>
    </row>
    <row r="7" spans="2:4">
      <c r="B7" s="28" t="s">
        <v>121</v>
      </c>
      <c r="C7" s="29">
        <v>0.13</v>
      </c>
      <c r="D7" s="25"/>
    </row>
    <row r="8" spans="2:4" ht="15" thickBot="1">
      <c r="B8" s="30" t="s">
        <v>122</v>
      </c>
      <c r="C8" s="31">
        <v>0.11</v>
      </c>
      <c r="D8" s="25"/>
    </row>
    <row r="9" spans="2:4">
      <c r="C9" s="18"/>
      <c r="D9" s="17"/>
    </row>
    <row r="10" spans="2:4">
      <c r="C10" s="18"/>
      <c r="D10" s="17"/>
    </row>
    <row r="11" spans="2:4">
      <c r="C11" s="18"/>
      <c r="D11" s="17"/>
    </row>
    <row r="12" spans="2:4">
      <c r="C12" s="18"/>
      <c r="D12" s="17"/>
    </row>
    <row r="13" spans="2:4">
      <c r="C13" s="18"/>
      <c r="D13" s="17"/>
    </row>
    <row r="14" spans="2:4">
      <c r="B14" t="s">
        <v>106</v>
      </c>
      <c r="C14" s="18">
        <v>3.1E-2</v>
      </c>
      <c r="D14" s="17" t="s">
        <v>112</v>
      </c>
    </row>
    <row r="15" spans="2:4">
      <c r="B15" t="s">
        <v>98</v>
      </c>
      <c r="C15" s="18">
        <v>0.1</v>
      </c>
      <c r="D15" s="17" t="s">
        <v>113</v>
      </c>
    </row>
    <row r="16" spans="2:4">
      <c r="C16" s="18"/>
      <c r="D16" s="17"/>
    </row>
    <row r="17" spans="1:4">
      <c r="C17" s="18"/>
      <c r="D17" s="17"/>
    </row>
    <row r="18" spans="1:4">
      <c r="B18" t="s">
        <v>99</v>
      </c>
      <c r="C18" s="18"/>
      <c r="D18" s="17"/>
    </row>
    <row r="19" spans="1:4">
      <c r="B19" t="s">
        <v>100</v>
      </c>
      <c r="C19" s="18">
        <v>0.09</v>
      </c>
      <c r="D19" s="17" t="s">
        <v>114</v>
      </c>
    </row>
    <row r="20" spans="1:4">
      <c r="A20" t="s">
        <v>108</v>
      </c>
      <c r="B20" t="s">
        <v>107</v>
      </c>
      <c r="C20" s="18">
        <v>0.4</v>
      </c>
      <c r="D20" s="17" t="s">
        <v>115</v>
      </c>
    </row>
    <row r="21" spans="1:4">
      <c r="C21" s="18"/>
      <c r="D21" s="17"/>
    </row>
    <row r="22" spans="1:4">
      <c r="B22" t="s">
        <v>101</v>
      </c>
      <c r="C22" s="18"/>
      <c r="D22" s="17"/>
    </row>
    <row r="23" spans="1:4">
      <c r="A23" t="s">
        <v>109</v>
      </c>
      <c r="B23" t="s">
        <v>102</v>
      </c>
      <c r="C23" s="19">
        <v>1.6E-2</v>
      </c>
      <c r="D23" s="17" t="s">
        <v>116</v>
      </c>
    </row>
    <row r="24" spans="1:4">
      <c r="B24" t="s">
        <v>103</v>
      </c>
      <c r="C24" s="20">
        <v>0.01</v>
      </c>
      <c r="D24" s="17" t="s">
        <v>117</v>
      </c>
    </row>
    <row r="25" spans="1:4">
      <c r="D25" s="17"/>
    </row>
    <row r="26" spans="1:4">
      <c r="D26" s="17"/>
    </row>
    <row r="27" spans="1:4">
      <c r="B27" t="s">
        <v>104</v>
      </c>
      <c r="D27" s="17"/>
    </row>
    <row r="28" spans="1:4">
      <c r="B28" t="s">
        <v>105</v>
      </c>
      <c r="C28" s="21" t="s">
        <v>110</v>
      </c>
      <c r="D28" s="17" t="s">
        <v>118</v>
      </c>
    </row>
    <row r="31" spans="1:4">
      <c r="B31" t="s">
        <v>124</v>
      </c>
      <c r="C31" s="20"/>
    </row>
    <row r="32" spans="1:4">
      <c r="B32" t="s">
        <v>125</v>
      </c>
      <c r="C32" s="18">
        <v>0.39</v>
      </c>
    </row>
    <row r="34" spans="2:3">
      <c r="B34" t="s">
        <v>128</v>
      </c>
    </row>
    <row r="35" spans="2:3">
      <c r="B35" t="s">
        <v>3</v>
      </c>
      <c r="C35" s="20">
        <f>AVERAGE('Financial Statement'!C20:G20)</f>
        <v>0.41610219305086271</v>
      </c>
    </row>
    <row r="36" spans="2:3">
      <c r="B36" t="s">
        <v>5</v>
      </c>
      <c r="C36" s="20">
        <f>AVERAGE('Financial Statement'!C26:G26)</f>
        <v>0.2577832766174365</v>
      </c>
    </row>
    <row r="37" spans="2:3">
      <c r="B37" t="s">
        <v>132</v>
      </c>
      <c r="C37" s="21">
        <f>'Financial Statement'!G29</f>
        <v>8924620034</v>
      </c>
    </row>
    <row r="38" spans="2:3">
      <c r="B38" t="s">
        <v>133</v>
      </c>
      <c r="C38" s="36">
        <f>'Financial Statement'!G30</f>
        <v>892.46200339999996</v>
      </c>
    </row>
  </sheetData>
  <dataValidations count="1">
    <dataValidation type="list" allowBlank="1" showInputMessage="1" showErrorMessage="1" sqref="C5" xr:uid="{5725E88C-5134-4360-A83F-3342D75D3296}">
      <formula1>$C$6:$C$8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F2ACF-28DB-4429-ADD2-092A0305387B}">
  <dimension ref="B2:D19"/>
  <sheetViews>
    <sheetView workbookViewId="0">
      <selection activeCell="B3" sqref="B3"/>
    </sheetView>
  </sheetViews>
  <sheetFormatPr defaultRowHeight="14.4"/>
  <cols>
    <col min="2" max="2" width="19.21875" bestFit="1" customWidth="1"/>
    <col min="3" max="3" width="9.5546875" bestFit="1" customWidth="1"/>
  </cols>
  <sheetData>
    <row r="2" spans="2:4">
      <c r="B2" s="13" t="s">
        <v>145</v>
      </c>
    </row>
    <row r="3" spans="2:4">
      <c r="B3" s="44">
        <v>47573</v>
      </c>
      <c r="C3" s="45">
        <f>_xlfn.XLOOKUP(B3,'Financial Statement'!H8:L8,'Financial Statement'!H31:L31,"",0)</f>
        <v>163.12624668993811</v>
      </c>
    </row>
    <row r="5" spans="2:4">
      <c r="B5" t="s">
        <v>142</v>
      </c>
      <c r="C5" s="23">
        <f>C3</f>
        <v>163.12624668993811</v>
      </c>
    </row>
    <row r="7" spans="2:4">
      <c r="B7" t="s">
        <v>134</v>
      </c>
      <c r="C7">
        <v>11</v>
      </c>
      <c r="D7" t="s">
        <v>139</v>
      </c>
    </row>
    <row r="9" spans="2:4">
      <c r="B9" t="s">
        <v>135</v>
      </c>
      <c r="C9" s="23">
        <f>C7*C5</f>
        <v>1794.3887135893192</v>
      </c>
    </row>
    <row r="11" spans="2:4">
      <c r="B11" t="s">
        <v>22</v>
      </c>
      <c r="C11" s="23">
        <f>'Data Sheet'!B11</f>
        <v>1091</v>
      </c>
    </row>
    <row r="13" spans="2:4">
      <c r="B13" t="s">
        <v>136</v>
      </c>
      <c r="C13" s="16">
        <f>'Data Sheet'!B16</f>
        <v>1.457378551787351E-2</v>
      </c>
    </row>
    <row r="15" spans="2:4">
      <c r="B15" t="s">
        <v>141</v>
      </c>
      <c r="C15" s="15">
        <f>(C9/C11)-1</f>
        <v>0.64471926085180487</v>
      </c>
    </row>
    <row r="17" spans="2:3">
      <c r="B17" t="s">
        <v>137</v>
      </c>
      <c r="C17" s="22">
        <f>C15+C13</f>
        <v>0.65929304636967834</v>
      </c>
    </row>
    <row r="19" spans="2:3">
      <c r="B19" t="s">
        <v>138</v>
      </c>
      <c r="C19" s="43" t="str">
        <f>IF(C17&gt;0.1,"BUY",IF(C17&lt;-0.1,"SELL","HOLD"))</f>
        <v>BUY</v>
      </c>
    </row>
  </sheetData>
  <conditionalFormatting sqref="C19">
    <cfRule type="containsText" dxfId="2" priority="1" operator="containsText" text="HOLD">
      <formula>NOT(ISERROR(SEARCH("HOLD",C19)))</formula>
    </cfRule>
    <cfRule type="containsText" dxfId="1" priority="2" operator="containsText" text="SELL">
      <formula>NOT(ISERROR(SEARCH("SELL",C19)))</formula>
    </cfRule>
    <cfRule type="containsText" dxfId="0" priority="3" operator="containsText" text="BUY">
      <formula>NOT(ISERROR(SEARCH("BUY",C19)))</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C5F21E2-87D1-4E76-92DC-E52A568B6D8F}">
          <x14:formula1>
            <xm:f>'Financial Statement'!$H$8:$L$8</xm:f>
          </x14:formula1>
          <xm:sqref>B3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Sheet</vt:lpstr>
      <vt:lpstr>Financial Statement</vt:lpstr>
      <vt:lpstr>Assumptions</vt:lpstr>
      <vt:lpstr>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Aban Keot</dc:creator>
  <cp:lastModifiedBy>Aban Keot</cp:lastModifiedBy>
  <cp:lastPrinted>2012-12-06T18:14:13Z</cp:lastPrinted>
  <dcterms:created xsi:type="dcterms:W3CDTF">2012-08-17T09:55:37Z</dcterms:created>
  <dcterms:modified xsi:type="dcterms:W3CDTF">2026-08-23T17:52:46Z</dcterms:modified>
</cp:coreProperties>
</file>