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odeling\"/>
    </mc:Choice>
  </mc:AlternateContent>
  <xr:revisionPtr revIDLastSave="0" documentId="13_ncr:1_{EE49CC16-57FE-4FAA-8ADC-74ACB8D05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heet" sheetId="6" r:id="rId1"/>
    <sheet name="Financial Statement" sheetId="7" r:id="rId2"/>
    <sheet name="Assumption" sheetId="8" r:id="rId3"/>
    <sheet name="Sheet3" sheetId="9" r:id="rId4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5" i="6" l="1"/>
  <c r="F25" i="6"/>
  <c r="E25" i="6"/>
  <c r="D25" i="6"/>
  <c r="C25" i="6"/>
  <c r="D57" i="9"/>
  <c r="C57" i="9"/>
  <c r="D55" i="9"/>
  <c r="C55" i="9"/>
  <c r="C53" i="9"/>
  <c r="D50" i="9"/>
  <c r="C50" i="9"/>
  <c r="D48" i="9"/>
  <c r="D45" i="9"/>
  <c r="D42" i="9"/>
  <c r="D39" i="9"/>
  <c r="D36" i="9"/>
  <c r="C10" i="7"/>
  <c r="D10" i="7"/>
  <c r="E10" i="7"/>
  <c r="E16" i="7" s="1"/>
  <c r="E17" i="7" s="1"/>
  <c r="F10" i="7"/>
  <c r="C13" i="7"/>
  <c r="D13" i="7"/>
  <c r="E13" i="7"/>
  <c r="F13" i="7"/>
  <c r="C19" i="7"/>
  <c r="D19" i="7"/>
  <c r="E19" i="7"/>
  <c r="E20" i="7" s="1"/>
  <c r="F19" i="7"/>
  <c r="C22" i="7"/>
  <c r="C60" i="7" s="1"/>
  <c r="D22" i="7"/>
  <c r="D60" i="7" s="1"/>
  <c r="E22" i="7"/>
  <c r="F22" i="7"/>
  <c r="F60" i="7" s="1"/>
  <c r="C28" i="7"/>
  <c r="D28" i="7"/>
  <c r="E28" i="7"/>
  <c r="F28" i="7"/>
  <c r="D41" i="7"/>
  <c r="E41" i="7"/>
  <c r="F41" i="7"/>
  <c r="D44" i="7"/>
  <c r="E44" i="7"/>
  <c r="F44" i="7"/>
  <c r="D47" i="7"/>
  <c r="E47" i="7"/>
  <c r="F47" i="7"/>
  <c r="D50" i="7"/>
  <c r="E50" i="7"/>
  <c r="F50" i="7"/>
  <c r="D53" i="7"/>
  <c r="E53" i="7"/>
  <c r="F53" i="7"/>
  <c r="C55" i="7"/>
  <c r="D55" i="7"/>
  <c r="E55" i="7"/>
  <c r="F55" i="7"/>
  <c r="D59" i="7"/>
  <c r="E59" i="7"/>
  <c r="F59" i="7"/>
  <c r="C62" i="7"/>
  <c r="C68" i="7" s="1"/>
  <c r="D62" i="7"/>
  <c r="D68" i="7" s="1"/>
  <c r="E62" i="7"/>
  <c r="F62" i="7"/>
  <c r="F68" i="7" s="1"/>
  <c r="D64" i="7"/>
  <c r="E64" i="7"/>
  <c r="F64" i="7"/>
  <c r="D66" i="7"/>
  <c r="E66" i="7"/>
  <c r="F66" i="7"/>
  <c r="E68" i="7"/>
  <c r="H66" i="7"/>
  <c r="G66" i="7"/>
  <c r="H62" i="7"/>
  <c r="H68" i="7" s="1"/>
  <c r="D59" i="9" s="1"/>
  <c r="G62" i="7"/>
  <c r="G68" i="7" s="1"/>
  <c r="C59" i="9" s="1"/>
  <c r="H64" i="7"/>
  <c r="G64" i="7"/>
  <c r="I59" i="7"/>
  <c r="H59" i="7"/>
  <c r="G59" i="7"/>
  <c r="H55" i="7"/>
  <c r="G55" i="7"/>
  <c r="H53" i="7"/>
  <c r="G53" i="7"/>
  <c r="H50" i="7"/>
  <c r="G50" i="7"/>
  <c r="G44" i="7"/>
  <c r="H47" i="7"/>
  <c r="G47" i="7"/>
  <c r="H44" i="7"/>
  <c r="G24" i="8"/>
  <c r="E38" i="9" s="1"/>
  <c r="F38" i="9" s="1"/>
  <c r="B25" i="6"/>
  <c r="H41" i="7"/>
  <c r="G41" i="7"/>
  <c r="B56" i="6"/>
  <c r="B60" i="6" s="1"/>
  <c r="C56" i="6"/>
  <c r="C60" i="6" s="1"/>
  <c r="D56" i="6"/>
  <c r="D60" i="6" s="1"/>
  <c r="E56" i="6"/>
  <c r="E60" i="6" s="1"/>
  <c r="F56" i="6"/>
  <c r="F60" i="6" s="1"/>
  <c r="G56" i="6"/>
  <c r="G60" i="6" s="1"/>
  <c r="B67" i="6"/>
  <c r="C67" i="6"/>
  <c r="D67" i="6"/>
  <c r="E67" i="6"/>
  <c r="F67" i="6"/>
  <c r="G67" i="6"/>
  <c r="G49" i="6"/>
  <c r="F49" i="6"/>
  <c r="E49" i="6"/>
  <c r="D49" i="6"/>
  <c r="C49" i="6"/>
  <c r="B49" i="6"/>
  <c r="G22" i="7"/>
  <c r="G60" i="7" s="1"/>
  <c r="G28" i="7"/>
  <c r="G19" i="7"/>
  <c r="G10" i="7"/>
  <c r="G13" i="7"/>
  <c r="C16" i="7" l="1"/>
  <c r="E14" i="7"/>
  <c r="E23" i="7"/>
  <c r="C20" i="7"/>
  <c r="D11" i="7"/>
  <c r="F16" i="7"/>
  <c r="F25" i="7" s="1"/>
  <c r="D53" i="9"/>
  <c r="G19" i="8"/>
  <c r="I41" i="7" s="1"/>
  <c r="I40" i="7" s="1"/>
  <c r="C23" i="7"/>
  <c r="D14" i="7"/>
  <c r="C14" i="7"/>
  <c r="D20" i="7"/>
  <c r="G38" i="9"/>
  <c r="F39" i="9"/>
  <c r="E39" i="9"/>
  <c r="C17" i="7"/>
  <c r="C25" i="7"/>
  <c r="D16" i="7"/>
  <c r="F23" i="7"/>
  <c r="F20" i="7"/>
  <c r="F14" i="7"/>
  <c r="F11" i="7"/>
  <c r="E60" i="7"/>
  <c r="E25" i="7"/>
  <c r="E11" i="7"/>
  <c r="D23" i="7"/>
  <c r="G35" i="8"/>
  <c r="K59" i="7" s="1"/>
  <c r="G30" i="8"/>
  <c r="G28" i="8"/>
  <c r="G29" i="8"/>
  <c r="G38" i="8"/>
  <c r="K64" i="7" s="1"/>
  <c r="G23" i="7"/>
  <c r="G14" i="7"/>
  <c r="G20" i="7"/>
  <c r="G16" i="7"/>
  <c r="G11" i="7"/>
  <c r="L41" i="7" l="1"/>
  <c r="K41" i="7"/>
  <c r="F17" i="7"/>
  <c r="J41" i="7"/>
  <c r="J40" i="7" s="1"/>
  <c r="K40" i="7" s="1"/>
  <c r="K50" i="7"/>
  <c r="H45" i="9"/>
  <c r="G45" i="9"/>
  <c r="F45" i="9"/>
  <c r="E45" i="9"/>
  <c r="E44" i="9" s="1"/>
  <c r="I47" i="7"/>
  <c r="I46" i="7" s="1"/>
  <c r="H42" i="9"/>
  <c r="E42" i="9"/>
  <c r="E41" i="9" s="1"/>
  <c r="G42" i="9"/>
  <c r="F42" i="9"/>
  <c r="L53" i="7"/>
  <c r="H48" i="9"/>
  <c r="G48" i="9"/>
  <c r="F48" i="9"/>
  <c r="E48" i="9"/>
  <c r="E47" i="9" s="1"/>
  <c r="F47" i="9" s="1"/>
  <c r="H36" i="9"/>
  <c r="G36" i="9"/>
  <c r="F36" i="9"/>
  <c r="E36" i="9"/>
  <c r="E35" i="9" s="1"/>
  <c r="H38" i="9"/>
  <c r="H39" i="9" s="1"/>
  <c r="G39" i="9"/>
  <c r="D17" i="7"/>
  <c r="D25" i="7"/>
  <c r="C26" i="7"/>
  <c r="C31" i="7"/>
  <c r="E26" i="7"/>
  <c r="E31" i="7"/>
  <c r="E29" i="7"/>
  <c r="F31" i="7"/>
  <c r="F26" i="7"/>
  <c r="F29" i="7"/>
  <c r="K47" i="7"/>
  <c r="L47" i="7"/>
  <c r="J47" i="7"/>
  <c r="C29" i="7"/>
  <c r="K53" i="7"/>
  <c r="I53" i="7"/>
  <c r="I52" i="7" s="1"/>
  <c r="I50" i="7"/>
  <c r="I49" i="7" s="1"/>
  <c r="J53" i="7"/>
  <c r="J64" i="7"/>
  <c r="I64" i="7"/>
  <c r="I63" i="7" s="1"/>
  <c r="E55" i="9" s="1"/>
  <c r="L64" i="7"/>
  <c r="L50" i="7"/>
  <c r="J50" i="7"/>
  <c r="J59" i="7"/>
  <c r="L59" i="7"/>
  <c r="G6" i="8"/>
  <c r="H4" i="8" s="1"/>
  <c r="G15" i="8"/>
  <c r="G36" i="8" s="1"/>
  <c r="K11" i="7"/>
  <c r="G9" i="8"/>
  <c r="G11" i="8"/>
  <c r="G25" i="7"/>
  <c r="G31" i="7" s="1"/>
  <c r="G17" i="7"/>
  <c r="J52" i="7" l="1"/>
  <c r="K52" i="7" s="1"/>
  <c r="L52" i="7" s="1"/>
  <c r="F44" i="9"/>
  <c r="G44" i="9" s="1"/>
  <c r="H44" i="9" s="1"/>
  <c r="F41" i="9"/>
  <c r="G41" i="9" s="1"/>
  <c r="H41" i="9" s="1"/>
  <c r="G47" i="9"/>
  <c r="H47" i="9" s="1"/>
  <c r="L40" i="7"/>
  <c r="J46" i="7"/>
  <c r="K46" i="7" s="1"/>
  <c r="L46" i="7" s="1"/>
  <c r="E50" i="9"/>
  <c r="F35" i="9"/>
  <c r="J49" i="7"/>
  <c r="K49" i="7" s="1"/>
  <c r="L49" i="7" s="1"/>
  <c r="D26" i="7"/>
  <c r="D31" i="7"/>
  <c r="D29" i="7"/>
  <c r="J63" i="7"/>
  <c r="H23" i="7"/>
  <c r="I23" i="7"/>
  <c r="L23" i="7"/>
  <c r="K23" i="7"/>
  <c r="J23" i="7"/>
  <c r="L11" i="7"/>
  <c r="J11" i="7"/>
  <c r="G29" i="7"/>
  <c r="G26" i="7"/>
  <c r="I11" i="7"/>
  <c r="H11" i="7"/>
  <c r="H10" i="7" s="1"/>
  <c r="H20" i="7"/>
  <c r="L20" i="7"/>
  <c r="J20" i="7"/>
  <c r="I20" i="7"/>
  <c r="K20" i="7"/>
  <c r="H14" i="7"/>
  <c r="L14" i="7"/>
  <c r="K14" i="7"/>
  <c r="J14" i="7"/>
  <c r="I14" i="7"/>
  <c r="F50" i="9" l="1"/>
  <c r="G35" i="9"/>
  <c r="K63" i="7"/>
  <c r="F55" i="9"/>
  <c r="I10" i="7"/>
  <c r="J10" i="7" s="1"/>
  <c r="H19" i="7"/>
  <c r="H13" i="7"/>
  <c r="H16" i="7" s="1"/>
  <c r="H22" i="7"/>
  <c r="H60" i="7" s="1"/>
  <c r="G13" i="8"/>
  <c r="H35" i="9" l="1"/>
  <c r="H50" i="9" s="1"/>
  <c r="G50" i="9"/>
  <c r="L63" i="7"/>
  <c r="H55" i="9" s="1"/>
  <c r="G55" i="9"/>
  <c r="I13" i="7"/>
  <c r="I16" i="7" s="1"/>
  <c r="I17" i="7" s="1"/>
  <c r="I22" i="7"/>
  <c r="I19" i="7"/>
  <c r="H25" i="7"/>
  <c r="H26" i="7" s="1"/>
  <c r="H17" i="7"/>
  <c r="L29" i="7"/>
  <c r="K29" i="7"/>
  <c r="J29" i="7"/>
  <c r="I29" i="7"/>
  <c r="H29" i="7"/>
  <c r="K10" i="7"/>
  <c r="J19" i="7"/>
  <c r="J13" i="7"/>
  <c r="J16" i="7" s="1"/>
  <c r="J22" i="7"/>
  <c r="J60" i="7" s="1"/>
  <c r="I60" i="7" l="1"/>
  <c r="I58" i="7"/>
  <c r="I25" i="7"/>
  <c r="I26" i="7" s="1"/>
  <c r="H28" i="7"/>
  <c r="H31" i="7" s="1"/>
  <c r="J25" i="7"/>
  <c r="J17" i="7"/>
  <c r="L10" i="7"/>
  <c r="K19" i="7"/>
  <c r="K22" i="7"/>
  <c r="K60" i="7" s="1"/>
  <c r="K13" i="7"/>
  <c r="K16" i="7" s="1"/>
  <c r="J58" i="7" l="1"/>
  <c r="J62" i="7" s="1"/>
  <c r="F53" i="9" s="1"/>
  <c r="I62" i="7"/>
  <c r="E53" i="9" s="1"/>
  <c r="I28" i="7"/>
  <c r="I31" i="7" s="1"/>
  <c r="I43" i="7" s="1"/>
  <c r="I55" i="7" s="1"/>
  <c r="K17" i="7"/>
  <c r="K25" i="7"/>
  <c r="J26" i="7"/>
  <c r="J28" i="7"/>
  <c r="J31" i="7" s="1"/>
  <c r="L22" i="7"/>
  <c r="L60" i="7" s="1"/>
  <c r="L13" i="7"/>
  <c r="L16" i="7" s="1"/>
  <c r="L19" i="7"/>
  <c r="I65" i="7" l="1"/>
  <c r="K58" i="7"/>
  <c r="K62" i="7" s="1"/>
  <c r="G53" i="9" s="1"/>
  <c r="J43" i="7"/>
  <c r="J55" i="7" s="1"/>
  <c r="J65" i="7" s="1"/>
  <c r="F57" i="9" s="1"/>
  <c r="I44" i="7"/>
  <c r="L25" i="7"/>
  <c r="L17" i="7"/>
  <c r="K26" i="7"/>
  <c r="K28" i="7"/>
  <c r="K31" i="7" s="1"/>
  <c r="I68" i="7" l="1"/>
  <c r="E59" i="9" s="1"/>
  <c r="E57" i="9"/>
  <c r="I66" i="7"/>
  <c r="J68" i="7"/>
  <c r="F59" i="9" s="1"/>
  <c r="J66" i="7"/>
  <c r="L58" i="7"/>
  <c r="L62" i="7" s="1"/>
  <c r="H53" i="9" s="1"/>
  <c r="K43" i="7"/>
  <c r="K55" i="7" s="1"/>
  <c r="K65" i="7" s="1"/>
  <c r="G57" i="9" s="1"/>
  <c r="J44" i="7"/>
  <c r="L26" i="7"/>
  <c r="L28" i="7"/>
  <c r="L31" i="7" s="1"/>
  <c r="B2" i="6"/>
  <c r="K68" i="7" l="1"/>
  <c r="G59" i="9" s="1"/>
  <c r="K66" i="7"/>
  <c r="K44" i="7"/>
  <c r="L43" i="7"/>
  <c r="L44" i="7" l="1"/>
  <c r="L55" i="7"/>
  <c r="L65" i="7" s="1"/>
  <c r="H57" i="9" s="1"/>
  <c r="L68" i="7" l="1"/>
  <c r="H59" i="9" s="1"/>
  <c r="L66" i="7"/>
</calcChain>
</file>

<file path=xl/sharedStrings.xml><?xml version="1.0" encoding="utf-8"?>
<sst xmlns="http://schemas.openxmlformats.org/spreadsheetml/2006/main" count="220" uniqueCount="128">
  <si>
    <t>COMPANY NAME</t>
  </si>
  <si>
    <t>Sales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</si>
  <si>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</si>
  <si>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</si>
  <si>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</si>
  <si>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</si>
  <si>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</si>
  <si>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</si>
  <si>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</si>
  <si>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Reserves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</si>
  <si>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</si>
  <si>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</si>
  <si>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</si>
  <si>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</si>
  <si>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</si>
  <si>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</si>
  <si>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</si>
  <si>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</si>
  <si>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Number of shares</t>
  </si>
  <si>
    <t>Current Price</t>
  </si>
  <si>
    <t>ICICI BANK LTD</t>
  </si>
  <si>
    <t>Dividend Amount</t>
  </si>
  <si>
    <t>Borrowings</t>
  </si>
  <si>
    <t>Other Liabilities</t>
  </si>
  <si>
    <t>Other Assets</t>
  </si>
  <si>
    <t>Market Capitalization</t>
  </si>
  <si>
    <t>Other Mfr. Exp</t>
  </si>
  <si>
    <t>Employee Cost</t>
  </si>
  <si>
    <t>Selling and admin</t>
  </si>
  <si>
    <t>Other Expenses</t>
  </si>
  <si>
    <t>Actual</t>
  </si>
  <si>
    <t>Expected</t>
  </si>
  <si>
    <t>Total Operating Income</t>
  </si>
  <si>
    <t>Income Growth Rate</t>
  </si>
  <si>
    <t>Operating Expenses</t>
  </si>
  <si>
    <t>Cost to Income ratio</t>
  </si>
  <si>
    <t>Operating Margin</t>
  </si>
  <si>
    <t>Interest Rate</t>
  </si>
  <si>
    <t>Profit Before Tax</t>
  </si>
  <si>
    <t>PBT %</t>
  </si>
  <si>
    <t>Tax Rate</t>
  </si>
  <si>
    <t>Net Profit</t>
  </si>
  <si>
    <t>Profit from operations</t>
  </si>
  <si>
    <t>Loans Advances</t>
  </si>
  <si>
    <t>Operating investments</t>
  </si>
  <si>
    <t>Operating Deposits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</si>
  <si>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</si>
  <si>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</si>
  <si>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</si>
  <si>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</si>
  <si>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</si>
  <si>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</si>
  <si>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Other investing items</t>
  </si>
  <si>
    <t>Proceeds from shares</t>
  </si>
  <si>
    <t>Proceeds from borrowings</t>
  </si>
  <si>
    <t>Repayment of borrowings</t>
  </si>
  <si>
    <t>Dividends paid</t>
  </si>
  <si>
    <t>Free Cash Flow</t>
  </si>
  <si>
    <t>CFO/OP</t>
  </si>
  <si>
    <t>Cash Flow</t>
  </si>
  <si>
    <t>Growth %</t>
  </si>
  <si>
    <t>Keeping the growth % as average of last 4year's growth percentage</t>
  </si>
  <si>
    <t xml:space="preserve"> COIR is fluctuating over time so took their average</t>
  </si>
  <si>
    <t>Tax rates</t>
  </si>
  <si>
    <t>Dep rate % of Revenue</t>
  </si>
  <si>
    <t>Model does not separately account for minority interest, which explains the gap between modeled and reported consolidated PAT</t>
  </si>
  <si>
    <t>Mar-21</t>
  </si>
  <si>
    <t>Mar-22</t>
  </si>
  <si>
    <t>Mar-23</t>
  </si>
  <si>
    <t>Mar-24</t>
  </si>
  <si>
    <t>Mar-25</t>
  </si>
  <si>
    <t>Mar-26</t>
  </si>
  <si>
    <t>Mar-27</t>
  </si>
  <si>
    <t>Mar-28</t>
  </si>
  <si>
    <t>Mar-29</t>
  </si>
  <si>
    <t>Mar-30</t>
  </si>
  <si>
    <t>EQUITY RESEARCH ON ICICI BANK</t>
  </si>
  <si>
    <t>BULL CASE</t>
  </si>
  <si>
    <t>BASE CASE</t>
  </si>
  <si>
    <t>BEAR CASE</t>
  </si>
  <si>
    <t>Interest, tax, and depreciation rates are forecast using their historical averages.</t>
  </si>
  <si>
    <t xml:space="preserve">Consolidated P/L Acc </t>
  </si>
  <si>
    <t>Equity Capital</t>
  </si>
  <si>
    <t>Total Equity</t>
  </si>
  <si>
    <t>Deposits</t>
  </si>
  <si>
    <t>Total Liabilities &amp; Equity</t>
  </si>
  <si>
    <t>Balance sheet</t>
  </si>
  <si>
    <t>Assets</t>
  </si>
  <si>
    <t>Fixed Assets</t>
  </si>
  <si>
    <t>Total Assets</t>
  </si>
  <si>
    <t>Financial Statement Assumption</t>
  </si>
  <si>
    <t>Balance Sheet Assumption</t>
  </si>
  <si>
    <t>Average historical growth %</t>
  </si>
  <si>
    <t>Balance Sheet</t>
  </si>
  <si>
    <t>Dividend Payout ratio</t>
  </si>
  <si>
    <t>Divided Payout ratio</t>
  </si>
  <si>
    <t>Are taken as "(Opening reserves+forecasted netprofit)-(Average Dividend payout ratio*forecasted net profit)</t>
  </si>
  <si>
    <t>Deposits growth rate</t>
  </si>
  <si>
    <t>Borrowings Rate</t>
  </si>
  <si>
    <t>Average Borrowing rate</t>
  </si>
  <si>
    <t xml:space="preserve">Change rates in Other Liabilities </t>
  </si>
  <si>
    <t>Total Liabilities and Equity</t>
  </si>
  <si>
    <t>Liabilities</t>
  </si>
  <si>
    <t>"=(Opening Asset+Capital expenditure)-(Depreciation))</t>
  </si>
  <si>
    <t>Capital expenditure %</t>
  </si>
  <si>
    <t>Previous year Fixed assets - capital expenditure(Assets purchased)</t>
  </si>
  <si>
    <t>CAPEX %</t>
  </si>
  <si>
    <t>NA</t>
  </si>
  <si>
    <t>CAPEX avg till Mar27</t>
  </si>
  <si>
    <t>Depraciation</t>
  </si>
  <si>
    <t>Depreciation Rate</t>
  </si>
  <si>
    <t>Depreciation rate</t>
  </si>
  <si>
    <t xml:space="preserve">% Change in Investment </t>
  </si>
  <si>
    <t>% change in Deposits</t>
  </si>
  <si>
    <t>% change in Reserves</t>
  </si>
  <si>
    <t>% Change in Equity Capital</t>
  </si>
  <si>
    <t xml:space="preserve">Investments </t>
  </si>
  <si>
    <t>Average % change in Investment</t>
  </si>
  <si>
    <t>Other Assets(t) = Total Liabilities &amp; Equity(t) − Fixed Assets(t) − Investments(t)</t>
  </si>
  <si>
    <t xml:space="preserve">PROFIT AND LOSS STATEMENT </t>
  </si>
  <si>
    <t>BALANCE SHEET</t>
  </si>
  <si>
    <t xml:space="preserve">%Change </t>
  </si>
  <si>
    <t>% Change</t>
  </si>
  <si>
    <t>% change</t>
  </si>
  <si>
    <t>Net Fixed Assets</t>
  </si>
  <si>
    <t>% Change in Other Assets</t>
  </si>
  <si>
    <t>Choose</t>
  </si>
  <si>
    <t>Value in Crore unless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</si>
</sst>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-409]mmm\-yy;@"/>
    <numFmt numFmtId="166" formatCode="#,##0.0;\(#,##0.0\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2222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22222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7"/>
      </left>
      <right style="thin">
        <color theme="7"/>
      </right>
      <top/>
      <bottom style="medium">
        <color theme="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108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5" fillId="0" borderId="0" xfId="1" applyNumberFormat="1" applyFont="1" applyFill="1" applyBorder="1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Font="1"/>
    <xf numFmtId="0" fontId="6" fillId="0" borderId="0" xfId="0" applyFont="1"/>
    <xf numFmtId="0" fontId="7" fillId="3" borderId="0" xfId="0" applyFont="1" applyFill="1"/>
    <xf numFmtId="165" fontId="7" fillId="3" borderId="0" xfId="0" applyNumberFormat="1" applyFont="1" applyFill="1"/>
    <xf numFmtId="165" fontId="8" fillId="4" borderId="0" xfId="0" applyNumberFormat="1" applyFont="1" applyFill="1"/>
    <xf numFmtId="0" fontId="9" fillId="0" borderId="0" xfId="0" applyFont="1" applyAlignment="1">
      <alignment horizontal="center"/>
    </xf>
    <xf numFmtId="2" fontId="6" fillId="0" borderId="0" xfId="0" applyNumberFormat="1" applyFont="1"/>
    <xf numFmtId="10" fontId="6" fillId="0" borderId="0" xfId="0" applyNumberFormat="1" applyFont="1"/>
    <xf numFmtId="10" fontId="6" fillId="0" borderId="0" xfId="3" applyNumberFormat="1" applyFont="1"/>
    <xf numFmtId="0" fontId="10" fillId="0" borderId="0" xfId="0" applyFont="1"/>
    <xf numFmtId="0" fontId="6" fillId="0" borderId="0" xfId="0" applyFont="1" applyBorder="1"/>
    <xf numFmtId="0" fontId="6" fillId="0" borderId="1" xfId="0" applyFont="1" applyBorder="1"/>
    <xf numFmtId="0" fontId="10" fillId="0" borderId="0" xfId="0" applyFont="1" applyBorder="1"/>
    <xf numFmtId="0" fontId="11" fillId="0" borderId="0" xfId="0" applyFont="1" applyAlignment="1"/>
    <xf numFmtId="10" fontId="0" fillId="0" borderId="0" xfId="3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2" xfId="3" applyNumberFormat="1" applyFont="1" applyBorder="1" applyAlignment="1">
      <alignment horizontal="center"/>
    </xf>
    <xf numFmtId="0" fontId="1" fillId="2" borderId="3" xfId="0" applyFont="1" applyFill="1" applyBorder="1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3" fontId="12" fillId="0" borderId="0" xfId="0" applyNumberFormat="1" applyFont="1" applyFill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7" fillId="3" borderId="6" xfId="0" applyFont="1" applyFill="1" applyBorder="1"/>
    <xf numFmtId="165" fontId="7" fillId="3" borderId="6" xfId="0" applyNumberFormat="1" applyFont="1" applyFill="1" applyBorder="1"/>
    <xf numFmtId="0" fontId="1" fillId="0" borderId="7" xfId="0" applyFont="1" applyBorder="1"/>
    <xf numFmtId="2" fontId="10" fillId="0" borderId="0" xfId="0" applyNumberFormat="1" applyFont="1"/>
    <xf numFmtId="0" fontId="0" fillId="0" borderId="0" xfId="0" applyAlignment="1"/>
    <xf numFmtId="0" fontId="0" fillId="0" borderId="0" xfId="0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/>
    </xf>
    <xf numFmtId="3" fontId="12" fillId="0" borderId="0" xfId="0" applyNumberFormat="1" applyFont="1" applyFill="1" applyAlignment="1">
      <alignment horizontal="right" vertical="center"/>
    </xf>
    <xf numFmtId="10" fontId="3" fillId="0" borderId="0" xfId="3" applyNumberFormat="1" applyFont="1"/>
    <xf numFmtId="2" fontId="6" fillId="0" borderId="0" xfId="0" applyNumberFormat="1" applyFont="1" applyAlignme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4" fillId="0" borderId="0" xfId="2" applyNumberFormat="1" applyBorder="1" applyAlignment="1" applyProtection="1"/>
    <xf numFmtId="0" fontId="0" fillId="0" borderId="0" xfId="0" applyAlignment="1">
      <alignment vertical="top"/>
    </xf>
    <xf numFmtId="10" fontId="0" fillId="0" borderId="0" xfId="0" applyNumberFormat="1" applyAlignment="1">
      <alignment horizontal="center" vertical="top"/>
    </xf>
    <xf numFmtId="0" fontId="6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0" fillId="0" borderId="0" xfId="0" applyFont="1" applyAlignment="1">
      <alignment horizontal="right" vertical="center" wrapText="1"/>
    </xf>
    <xf numFmtId="0" fontId="10" fillId="0" borderId="5" xfId="0" applyFont="1" applyBorder="1"/>
    <xf numFmtId="2" fontId="10" fillId="0" borderId="5" xfId="0" applyNumberFormat="1" applyFont="1" applyBorder="1"/>
    <xf numFmtId="165" fontId="8" fillId="0" borderId="0" xfId="0" applyNumberFormat="1" applyFont="1" applyFill="1" applyBorder="1"/>
    <xf numFmtId="10" fontId="0" fillId="0" borderId="0" xfId="3" applyNumberFormat="1" applyFont="1"/>
    <xf numFmtId="4" fontId="12" fillId="0" borderId="0" xfId="0" applyNumberFormat="1" applyFont="1" applyFill="1" applyAlignment="1">
      <alignment horizontal="right" vertical="center"/>
    </xf>
    <xf numFmtId="0" fontId="10" fillId="0" borderId="7" xfId="0" applyFont="1" applyBorder="1"/>
    <xf numFmtId="0" fontId="7" fillId="3" borderId="9" xfId="0" applyFont="1" applyFill="1" applyBorder="1"/>
    <xf numFmtId="165" fontId="7" fillId="3" borderId="9" xfId="0" applyNumberFormat="1" applyFont="1" applyFill="1" applyBorder="1"/>
    <xf numFmtId="165" fontId="8" fillId="4" borderId="9" xfId="0" applyNumberFormat="1" applyFont="1" applyFill="1" applyBorder="1"/>
    <xf numFmtId="4" fontId="15" fillId="0" borderId="7" xfId="0" applyNumberFormat="1" applyFont="1" applyFill="1" applyBorder="1" applyAlignment="1">
      <alignment vertical="center"/>
    </xf>
    <xf numFmtId="4" fontId="15" fillId="0" borderId="7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165" fontId="8" fillId="4" borderId="6" xfId="0" applyNumberFormat="1" applyFont="1" applyFill="1" applyBorder="1"/>
    <xf numFmtId="165" fontId="2" fillId="7" borderId="0" xfId="1" applyNumberFormat="1" applyFont="1" applyFill="1" applyBorder="1"/>
    <xf numFmtId="165" fontId="2" fillId="7" borderId="0" xfId="0" applyNumberFormat="1" applyFont="1" applyFill="1" applyBorder="1" applyAlignment="1">
      <alignment horizontal="center"/>
    </xf>
    <xf numFmtId="164" fontId="1" fillId="8" borderId="0" xfId="1" applyFont="1" applyFill="1" applyBorder="1" applyAlignment="1">
      <alignment horizontal="left"/>
    </xf>
    <xf numFmtId="164" fontId="1" fillId="8" borderId="0" xfId="1" applyFont="1" applyFill="1" applyBorder="1"/>
    <xf numFmtId="0" fontId="1" fillId="8" borderId="0" xfId="0" applyFont="1" applyFill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/>
    </xf>
    <xf numFmtId="166" fontId="6" fillId="0" borderId="0" xfId="0" applyNumberFormat="1" applyFont="1"/>
    <xf numFmtId="166" fontId="6" fillId="0" borderId="0" xfId="3" applyNumberFormat="1" applyFont="1"/>
    <xf numFmtId="166" fontId="10" fillId="0" borderId="0" xfId="0" applyNumberFormat="1" applyFont="1"/>
    <xf numFmtId="166" fontId="6" fillId="0" borderId="1" xfId="0" applyNumberFormat="1" applyFont="1" applyBorder="1"/>
    <xf numFmtId="166" fontId="10" fillId="0" borderId="5" xfId="0" applyNumberFormat="1" applyFont="1" applyBorder="1"/>
    <xf numFmtId="166" fontId="6" fillId="0" borderId="5" xfId="0" applyNumberFormat="1" applyFont="1" applyBorder="1"/>
    <xf numFmtId="166" fontId="6" fillId="9" borderId="12" xfId="0" applyNumberFormat="1" applyFont="1" applyFill="1" applyBorder="1"/>
    <xf numFmtId="10" fontId="6" fillId="10" borderId="12" xfId="3" applyNumberFormat="1" applyFont="1" applyFill="1" applyBorder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164" fontId="1" fillId="11" borderId="0" xfId="1" applyFont="1" applyFill="1" applyBorder="1"/>
    <xf numFmtId="164" fontId="0" fillId="11" borderId="0" xfId="1" applyFont="1" applyFill="1" applyBorder="1"/>
    <xf numFmtId="0" fontId="0" fillId="11" borderId="0" xfId="0" applyFill="1"/>
    <xf numFmtId="164" fontId="18" fillId="0" borderId="0" xfId="1" applyFont="1" applyBorder="1" applyAlignment="1">
      <alignment horizontal="right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47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 outline="0">
        <top style="thin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"/>
        <family val="2"/>
        <scheme val="minor"/>
      </font>
      <numFmt numFmtId="165" formatCode="[$-409]mmm\-yy;@"/>
      <fill>
        <patternFill patternType="solid">
          <fgColor indexed="64"/>
          <bgColor rgb="FFCCFFC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[$-409]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"/>
        <family val="2"/>
        <scheme val="minor"/>
      </font>
      <numFmt numFmtId="165" formatCode="[$-409]mmm\-yy;@"/>
      <fill>
        <patternFill patternType="solid">
          <fgColor indexed="64"/>
          <bgColor rgb="FFCC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7"/>
        </top>
        <bottom style="double">
          <color indexed="64"/>
        </bottom>
      </border>
    </dxf>
    <dxf>
      <border outline="0">
        <bottom style="medium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"/>
        <family val="2"/>
        <scheme val="minor"/>
      </font>
      <numFmt numFmtId="165" formatCode="[$-409]mmm\-yy;@"/>
      <fill>
        <patternFill patternType="solid">
          <fgColor indexed="64"/>
          <bgColor rgb="FFCCFFCC"/>
        </patternFill>
      </fill>
      <border diagonalUp="0" diagonalDown="0" outline="0">
        <left style="thin">
          <color theme="7"/>
        </left>
        <right style="thin">
          <color theme="7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[$-409]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"/>
        <family val="2"/>
        <scheme val="minor"/>
      </font>
      <numFmt numFmtId="165" formatCode="[$-409]mmm\-yy;@"/>
      <fill>
        <patternFill patternType="solid">
          <fgColor indexed="64"/>
          <bgColor rgb="FFCC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border outline="0">
        <top style="thin">
          <color theme="7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F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border outline="0">
        <bottom style="medium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indexed="64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99CCFF"/>
      <color rgb="FF99FF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99101</xdr:colOff>
      <xdr:row>2</xdr:row>
      <xdr:rowOff>46526</xdr:rowOff>
    </xdr:from>
    <xdr:to>
      <xdr:col>2</xdr:col>
      <xdr:colOff>132120</xdr:colOff>
      <xdr:row>4</xdr:row>
      <xdr:rowOff>162393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1E918C-259B-4F79-A105-0A4D58906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199" y="421280"/>
          <a:ext cx="2331511" cy="5156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16B95-B1FC-4800-A7CC-85023B0DE6A7}" name="Table3" displayName="Table3" ref="A52:G67" totalsRowShown="0" headerRowDxfId="46" dataDxfId="44" headerRowBorderDxfId="45" tableBorderDxfId="43">
  <autoFilter ref="A52:G67" xr:uid="{27616B95-B1FC-4800-A7CC-85023B0DE6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1DF991B-27B5-4968-90D2-83FDAA6EC555}" name="Report Date"/>
    <tableColumn id="2" xr3:uid="{27CA01E9-19CB-4E68-A162-9468D8C654C7}" name="Mar-21" dataDxfId="42"/>
    <tableColumn id="3" xr3:uid="{099A5C26-BB9C-4358-82A9-FB2C3712D055}" name="Mar-22" dataDxfId="41"/>
    <tableColumn id="4" xr3:uid="{61C49B02-06CD-4FA3-980F-6F1816A9D81A}" name="Mar-23" dataDxfId="40"/>
    <tableColumn id="5" xr3:uid="{9B85009F-AE5B-47E3-8779-763AA0C0E9BB}" name="Mar-24" dataDxfId="39"/>
    <tableColumn id="6" xr3:uid="{43E97AD6-6CCE-4382-A98C-7209E545AD14}" name="Mar-25" dataDxfId="38"/>
    <tableColumn id="7" xr3:uid="{F5B22AD1-15AA-477D-AFE6-50D146328BBC}" name="Mar-26" dataDxfId="3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3BEE7-F8A2-45B2-92E8-D7125ADE4ED8}" name="Table2" displayName="Table2" ref="B7:L31" totalsRowShown="0" headerRowDxfId="36" dataDxfId="35">
  <autoFilter ref="B7:L31" xr:uid="{CE63BEE7-F8A2-45B2-92E8-D7125ADE4ED8}"/>
  <tableColumns count="11">
    <tableColumn id="1" xr3:uid="{DE9F9961-2080-49F4-BE0B-594F211B4A55}" name="Report Date" dataDxfId="34"/>
    <tableColumn id="2" xr3:uid="{0D8F1865-BE0C-4636-852A-1FCF69F0FCB9}" name="Mar-21" dataDxfId="33"/>
    <tableColumn id="3" xr3:uid="{27F45FC4-F988-4F61-A818-1155646565A6}" name="Mar-22" dataDxfId="32"/>
    <tableColumn id="4" xr3:uid="{A566B8B9-8A26-462D-942B-47C22D108A5E}" name="Mar-23" dataDxfId="31"/>
    <tableColumn id="5" xr3:uid="{FD2081AC-304C-4A1A-8DD1-C433023ACA26}" name="Mar-24" dataDxfId="30"/>
    <tableColumn id="6" xr3:uid="{46BE2084-C9B9-4778-9E26-C5000B468C1B}" name="Mar-25" dataDxfId="29"/>
    <tableColumn id="7" xr3:uid="{F40573EB-DFCD-47BC-B1FD-866E7AB63D8A}" name="Mar-26" dataDxfId="28"/>
    <tableColumn id="8" xr3:uid="{2D6B5294-19A4-4BB1-BA81-725F88166349}" name="Mar-27" dataDxfId="27"/>
    <tableColumn id="9" xr3:uid="{91572E62-6DA3-4871-8910-A4A12781F51A}" name="Mar-28" dataDxfId="26"/>
    <tableColumn id="10" xr3:uid="{D744CB3C-A1CA-4DFB-BBCC-985B553D4244}" name="Mar-29" dataDxfId="25"/>
    <tableColumn id="11" xr3:uid="{21E6BB08-B55A-4106-BC56-C4C2FE70FD92}" name="Mar-30" dataDxfId="2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6DC9DE-33C5-473E-B667-EC3E92942EA5}" name="Table6" displayName="Table6" ref="B37:L68" totalsRowShown="0" headerRowDxfId="23" headerRowBorderDxfId="22" tableBorderDxfId="21">
  <autoFilter ref="B37:L68" xr:uid="{E66DC9DE-33C5-473E-B667-EC3E92942EA5}"/>
  <tableColumns count="11">
    <tableColumn id="1" xr3:uid="{529B1053-42DB-4AFD-AE59-22E6135A7189}" name="Report Date" dataDxfId="20"/>
    <tableColumn id="2" xr3:uid="{3E051146-063A-4E20-A3DD-6E29E991662E}" name="Mar-21"/>
    <tableColumn id="3" xr3:uid="{80F2DEAD-E734-4858-920C-36783B006F12}" name="Mar-22"/>
    <tableColumn id="4" xr3:uid="{579F72DA-9B1A-4315-A82A-861CF266F729}" name="Mar-23"/>
    <tableColumn id="5" xr3:uid="{16C5125E-6121-4666-AFFC-3ED55097ABEF}" name="Mar-24"/>
    <tableColumn id="6" xr3:uid="{F4D65C1E-3196-4BE4-9D83-18A4168EB7D0}" name="Mar-25"/>
    <tableColumn id="7" xr3:uid="{F299F6DD-2616-4F55-9C26-2BEDF974C64D}" name="Mar-26"/>
    <tableColumn id="8" xr3:uid="{40E0BE96-9A5B-4D75-8544-632B82A32141}" name="Mar-27"/>
    <tableColumn id="9" xr3:uid="{3AAC36A7-6D03-4795-8674-F47D1893EEA6}" name="Mar-28"/>
    <tableColumn id="10" xr3:uid="{2DC5C412-FA79-4BFB-8EFF-F563D1D71295}" name="Mar-29"/>
    <tableColumn id="11" xr3:uid="{7A9EB289-C548-4D39-AB6E-B7BCC13EA8DA}" name="Mar-30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F30093-FE4B-4ED4-ADC2-C8030617791D}" name="Table29" displayName="Table29" ref="B8:H24" totalsRowShown="0" headerRowDxfId="19" dataDxfId="18">
  <autoFilter ref="B8:H24" xr:uid="{9EF30093-FE4B-4ED4-ADC2-C8030617791D}"/>
  <tableColumns count="7">
    <tableColumn id="1" xr3:uid="{464532FE-7940-43D1-88F5-3A567C146E90}" name="Report Date" dataDxfId="17"/>
    <tableColumn id="6" xr3:uid="{1083DF55-AB4B-402E-B055-4687596DBC6B}" name="Mar-25" dataDxfId="16"/>
    <tableColumn id="7" xr3:uid="{61C3DB6D-2A5D-44A6-8DF8-06928F58E6E6}" name="Mar-26" dataDxfId="15"/>
    <tableColumn id="8" xr3:uid="{5CA588E2-9711-4B37-9B00-54D4A80C8903}" name="Mar-27" dataDxfId="14"/>
    <tableColumn id="9" xr3:uid="{09861B9D-316E-4744-88C3-6710B58560A6}" name="Mar-28" dataDxfId="13"/>
    <tableColumn id="10" xr3:uid="{7684FAD5-3628-4E4E-ADC3-F32854878926}" name="Mar-29" dataDxfId="12"/>
    <tableColumn id="11" xr3:uid="{8E0BA33B-8BFF-4724-9A7D-22C52486E4AB}" name="Mar-30" dataDxfId="11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C1DBC1-470B-440E-AE67-46C0E62B08EF}" name="Table5" displayName="Table5" ref="B32:H59" totalsRowShown="0" headerRowDxfId="10" dataDxfId="8" headerRowBorderDxfId="9" tableBorderDxfId="7">
  <autoFilter ref="B32:H59" xr:uid="{BDC1DBC1-470B-440E-AE67-46C0E62B08EF}"/>
  <tableColumns count="7">
    <tableColumn id="1" xr3:uid="{5DB5A93C-B1E0-4818-86A5-A37C90A778DB}" name="Report Date"/>
    <tableColumn id="2" xr3:uid="{B4ED38BB-ECF6-4D0D-9F71-57FBDCE4E832}" name="Mar-25" dataDxfId="6"/>
    <tableColumn id="3" xr3:uid="{474390FA-BC6B-4FE4-A37F-D1850BC3F0D4}" name="Mar-26" dataDxfId="5"/>
    <tableColumn id="4" xr3:uid="{372D98BB-61C5-4E95-B4EE-F984DC8E2240}" name="Mar-27" dataDxfId="4"/>
    <tableColumn id="5" xr3:uid="{81AB2608-24F2-43A5-9E72-F934D1A4B675}" name="Mar-28" dataDxfId="3"/>
    <tableColumn id="6" xr3:uid="{C1A88271-96CE-44C0-8EA4-4ADB7F143111}" name="Mar-29" dataDxfId="2"/>
    <tableColumn id="7" xr3:uid="{112998B5-3570-4939-B0C3-EE045D93F742}" name="Mar-30" dataDxfId="1"/>
  </tableColumns>
  <tableStyleInfo name="TableStyleMedium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7"/>
  <sheetViews>
    <sheetView tabSelected="1" topLeftCell="A5" zoomScale="76" zoomScaleNormal="100" zoomScalePageLayoutView="120" workbookViewId="0">
      <selection activeCell="J19" sqref="J19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04" t="s">
        <v>0</v>
      </c>
      <c r="B1" s="104" t="s">
        <v>20</v>
      </c>
      <c r="E1" s="48"/>
      <c r="F1" s="48"/>
      <c r="G1" s="48"/>
      <c r="H1" s="48"/>
      <c r="I1" s="48"/>
      <c r="J1" s="48"/>
      <c r="K1" s="48"/>
    </row>
    <row r="2" spans="1:11" x14ac:dyDescent="0.3">
      <c r="A2" s="105" t="s">
        <v>18</v>
      </c>
      <c r="B2" s="105">
        <f>IF(B5&gt;0, B5/B4, 0)</f>
        <v>717.56021318099488</v>
      </c>
    </row>
    <row r="3" spans="1:11" x14ac:dyDescent="0.3">
      <c r="A3" s="105" t="s">
        <v>11</v>
      </c>
      <c r="B3" s="106">
        <v>2</v>
      </c>
    </row>
    <row r="4" spans="1:11" x14ac:dyDescent="0.3">
      <c r="A4" s="105" t="s">
        <v>19</v>
      </c>
      <c r="B4" s="106">
        <v>1435.4</v>
      </c>
    </row>
    <row r="5" spans="1:11" x14ac:dyDescent="0.3">
      <c r="A5" s="105" t="s">
        <v>25</v>
      </c>
      <c r="B5" s="106">
        <v>1029985.93</v>
      </c>
    </row>
    <row r="11" spans="1:11" x14ac:dyDescent="0.3">
      <c r="A11" s="70" t="s">
        <v>16</v>
      </c>
      <c r="G11" s="107" t="s">
        <v>127</v>
      </c>
    </row>
    <row r="12" spans="1:11" s="4" customFormat="1" x14ac:dyDescent="0.3">
      <c r="A12" s="67" t="s">
        <v>17</v>
      </c>
      <c r="B12" s="68">
        <v>44286</v>
      </c>
      <c r="C12" s="68">
        <v>44651</v>
      </c>
      <c r="D12" s="68">
        <v>45016</v>
      </c>
      <c r="E12" s="68">
        <v>45382</v>
      </c>
      <c r="F12" s="68">
        <v>45747</v>
      </c>
      <c r="G12" s="68">
        <v>46112</v>
      </c>
    </row>
    <row r="13" spans="1:11" s="3" customFormat="1" ht="15.6" x14ac:dyDescent="0.3">
      <c r="A13" s="3" t="s">
        <v>1</v>
      </c>
      <c r="B13" s="80">
        <v>89162.66</v>
      </c>
      <c r="C13" s="80">
        <v>95406.87</v>
      </c>
      <c r="D13" s="80">
        <v>121066.81</v>
      </c>
      <c r="E13" s="80">
        <v>159515.93</v>
      </c>
      <c r="F13" s="80">
        <v>186331.46</v>
      </c>
      <c r="G13" s="80">
        <v>195218.46</v>
      </c>
    </row>
    <row r="14" spans="1:11" s="3" customFormat="1" ht="15.6" x14ac:dyDescent="0.3">
      <c r="A14" s="2" t="s">
        <v>26</v>
      </c>
      <c r="B14" s="80">
        <v>2178.52</v>
      </c>
      <c r="C14" s="80">
        <v>2699.47</v>
      </c>
      <c r="D14" s="80">
        <v>3464.42</v>
      </c>
      <c r="E14" s="80">
        <v>3617.18</v>
      </c>
      <c r="F14" s="80">
        <v>3820.07</v>
      </c>
      <c r="G14" s="80">
        <v>4694.76</v>
      </c>
    </row>
    <row r="15" spans="1:11" s="3" customFormat="1" ht="15.6" x14ac:dyDescent="0.3">
      <c r="A15" s="2" t="s">
        <v>27</v>
      </c>
      <c r="B15" s="80">
        <v>11063.46</v>
      </c>
      <c r="C15" s="80">
        <v>12353.95</v>
      </c>
      <c r="D15" s="80">
        <v>15247.91</v>
      </c>
      <c r="E15" s="80">
        <v>19186.580000000002</v>
      </c>
      <c r="F15" s="80">
        <v>23650.86</v>
      </c>
      <c r="G15" s="80">
        <v>25279.14</v>
      </c>
    </row>
    <row r="16" spans="1:11" s="3" customFormat="1" ht="15.6" x14ac:dyDescent="0.3">
      <c r="A16" s="2" t="s">
        <v>28</v>
      </c>
      <c r="B16" s="80">
        <v>6402.88</v>
      </c>
      <c r="C16" s="80">
        <v>6167.72</v>
      </c>
      <c r="D16" s="80">
        <v>7565.2</v>
      </c>
      <c r="E16" s="80">
        <v>7643.68</v>
      </c>
      <c r="F16" s="80">
        <v>8207.5300000000007</v>
      </c>
      <c r="G16" s="80">
        <v>8160.59</v>
      </c>
    </row>
    <row r="17" spans="1:7" s="3" customFormat="1" ht="15.6" x14ac:dyDescent="0.3">
      <c r="A17" s="2" t="s">
        <v>29</v>
      </c>
      <c r="B17" s="80">
        <v>71664.11</v>
      </c>
      <c r="C17" s="80">
        <v>59577.23</v>
      </c>
      <c r="D17" s="80">
        <v>61586.85</v>
      </c>
      <c r="E17" s="80">
        <v>69112.55</v>
      </c>
      <c r="F17" s="80">
        <v>94399.96</v>
      </c>
      <c r="G17" s="80">
        <v>104836.97</v>
      </c>
    </row>
    <row r="18" spans="1:7" s="3" customFormat="1" ht="15.6" x14ac:dyDescent="0.3">
      <c r="A18" s="3" t="s">
        <v>3</v>
      </c>
      <c r="B18" s="80">
        <v>72173.81</v>
      </c>
      <c r="C18" s="80">
        <v>62129.45</v>
      </c>
      <c r="D18" s="80">
        <v>65111.99</v>
      </c>
      <c r="E18" s="80">
        <v>76521.8</v>
      </c>
      <c r="F18" s="80">
        <v>108255.47</v>
      </c>
      <c r="G18" s="80">
        <v>116899.9</v>
      </c>
    </row>
    <row r="19" spans="1:7" s="3" customFormat="1" ht="15.6" x14ac:dyDescent="0.3">
      <c r="A19" s="3" t="s">
        <v>4</v>
      </c>
      <c r="B19" s="80">
        <v>1340.07</v>
      </c>
      <c r="C19" s="80">
        <v>1330.01</v>
      </c>
      <c r="D19" s="80">
        <v>1514.56</v>
      </c>
      <c r="E19" s="80">
        <v>1935.21</v>
      </c>
      <c r="F19" s="80">
        <v>2627.32</v>
      </c>
      <c r="G19" s="80">
        <v>3061</v>
      </c>
    </row>
    <row r="20" spans="1:7" s="3" customFormat="1" ht="15.6" x14ac:dyDescent="0.3">
      <c r="A20" s="3" t="s">
        <v>5</v>
      </c>
      <c r="B20" s="80">
        <v>42659.09</v>
      </c>
      <c r="C20" s="80">
        <v>41166.67</v>
      </c>
      <c r="D20" s="80">
        <v>50543.39</v>
      </c>
      <c r="E20" s="80">
        <v>74108.160000000003</v>
      </c>
      <c r="F20" s="80">
        <v>89027.65</v>
      </c>
      <c r="G20" s="80">
        <v>89028.58</v>
      </c>
    </row>
    <row r="21" spans="1:7" s="3" customFormat="1" ht="15.6" x14ac:dyDescent="0.3">
      <c r="A21" s="3" t="s">
        <v>6</v>
      </c>
      <c r="B21" s="80">
        <v>26028.34</v>
      </c>
      <c r="C21" s="80">
        <v>34241.269999999997</v>
      </c>
      <c r="D21" s="80">
        <v>46256.47</v>
      </c>
      <c r="E21" s="80">
        <v>60434.37</v>
      </c>
      <c r="F21" s="80">
        <v>72853.539999999994</v>
      </c>
      <c r="G21" s="80">
        <v>77057.320000000007</v>
      </c>
    </row>
    <row r="22" spans="1:7" s="3" customFormat="1" ht="15.6" x14ac:dyDescent="0.3">
      <c r="A22" s="3" t="s">
        <v>7</v>
      </c>
      <c r="B22" s="80">
        <v>5664.37</v>
      </c>
      <c r="C22" s="80">
        <v>8457.44</v>
      </c>
      <c r="D22" s="80">
        <v>11793.44</v>
      </c>
      <c r="E22" s="80">
        <v>15427.62</v>
      </c>
      <c r="F22" s="80">
        <v>18434.830000000002</v>
      </c>
      <c r="G22" s="80">
        <v>19383.93</v>
      </c>
    </row>
    <row r="23" spans="1:7" s="3" customFormat="1" ht="15.6" x14ac:dyDescent="0.3">
      <c r="A23" s="3" t="s">
        <v>8</v>
      </c>
      <c r="B23" s="80">
        <v>18384.32</v>
      </c>
      <c r="C23" s="80">
        <v>25110.1</v>
      </c>
      <c r="D23" s="80">
        <v>34036.639999999999</v>
      </c>
      <c r="E23" s="80">
        <v>44256.37</v>
      </c>
      <c r="F23" s="80">
        <v>51029.2</v>
      </c>
      <c r="G23" s="80">
        <v>54207.7</v>
      </c>
    </row>
    <row r="24" spans="1:7" s="3" customFormat="1" ht="15.6" x14ac:dyDescent="0.3">
      <c r="A24" s="3" t="s">
        <v>21</v>
      </c>
      <c r="B24" s="80">
        <v>1383.41</v>
      </c>
      <c r="C24" s="80">
        <v>3474.92</v>
      </c>
      <c r="D24" s="80">
        <v>5587.12</v>
      </c>
      <c r="E24" s="80">
        <v>7023.4</v>
      </c>
      <c r="F24" s="80">
        <v>7835.3</v>
      </c>
      <c r="G24" s="80">
        <v>8593.3799999999992</v>
      </c>
    </row>
    <row r="25" spans="1:7" s="3" customFormat="1" ht="15.6" x14ac:dyDescent="0.3">
      <c r="A25" s="3" t="s">
        <v>95</v>
      </c>
      <c r="B25" s="81">
        <f>B24/B23</f>
        <v>7.5249451706671772E-2</v>
      </c>
      <c r="C25" s="81">
        <f t="shared" ref="C25:G25" si="0">C24/C23</f>
        <v>0.13838734214519258</v>
      </c>
      <c r="D25" s="81">
        <f t="shared" si="0"/>
        <v>0.16415016288329282</v>
      </c>
      <c r="E25" s="81">
        <f t="shared" si="0"/>
        <v>0.15869805860715641</v>
      </c>
      <c r="F25" s="81">
        <f t="shared" si="0"/>
        <v>0.15354542105304414</v>
      </c>
      <c r="G25" s="81">
        <f t="shared" si="0"/>
        <v>0.15852692514163116</v>
      </c>
    </row>
    <row r="26" spans="1:7" s="3" customFormat="1" x14ac:dyDescent="0.3"/>
    <row r="27" spans="1:7" x14ac:dyDescent="0.3">
      <c r="A27" s="69" t="s">
        <v>59</v>
      </c>
      <c r="B27" s="7"/>
      <c r="C27" s="7"/>
      <c r="D27" s="7"/>
      <c r="E27" s="7"/>
      <c r="F27" s="7"/>
      <c r="G27" s="7"/>
    </row>
    <row r="28" spans="1:7" x14ac:dyDescent="0.3">
      <c r="A28" s="67" t="s">
        <v>17</v>
      </c>
      <c r="B28" s="68">
        <v>44286</v>
      </c>
      <c r="C28" s="68">
        <v>44651</v>
      </c>
      <c r="D28" s="68">
        <v>45016</v>
      </c>
      <c r="E28" s="68">
        <v>45382</v>
      </c>
      <c r="F28" s="68">
        <v>45747</v>
      </c>
      <c r="G28" s="68">
        <v>46112</v>
      </c>
    </row>
    <row r="29" spans="1:7" ht="15.6" x14ac:dyDescent="0.3">
      <c r="A29" s="9" t="s">
        <v>12</v>
      </c>
      <c r="B29" s="80">
        <v>138015</v>
      </c>
      <c r="C29" s="80">
        <v>58111</v>
      </c>
      <c r="D29" s="80">
        <v>-3771</v>
      </c>
      <c r="E29" s="80">
        <v>157284</v>
      </c>
      <c r="F29" s="80">
        <v>122805</v>
      </c>
      <c r="G29" s="80">
        <v>67325</v>
      </c>
    </row>
    <row r="30" spans="1:7" ht="15.6" x14ac:dyDescent="0.3">
      <c r="A30" s="9" t="s">
        <v>42</v>
      </c>
      <c r="B30" s="80">
        <v>39859</v>
      </c>
      <c r="C30" s="80">
        <v>45576</v>
      </c>
      <c r="D30" s="80">
        <v>56183</v>
      </c>
      <c r="E30" s="80">
        <v>66993</v>
      </c>
      <c r="F30" s="80">
        <v>76904</v>
      </c>
      <c r="G30" s="80">
        <v>83930</v>
      </c>
    </row>
    <row r="31" spans="1:7" ht="15.6" x14ac:dyDescent="0.3">
      <c r="A31" s="9" t="s">
        <v>43</v>
      </c>
      <c r="B31" s="80">
        <v>-96893</v>
      </c>
      <c r="C31" s="80">
        <v>-134905</v>
      </c>
      <c r="D31" s="80">
        <v>-163893</v>
      </c>
      <c r="E31" s="80">
        <v>-178265</v>
      </c>
      <c r="F31" s="80">
        <v>-164020</v>
      </c>
      <c r="G31" s="80">
        <v>-230271</v>
      </c>
    </row>
    <row r="32" spans="1:7" ht="15.6" x14ac:dyDescent="0.3">
      <c r="A32" s="9" t="s">
        <v>44</v>
      </c>
      <c r="B32" s="80">
        <v>9048</v>
      </c>
      <c r="C32" s="80">
        <v>-16669</v>
      </c>
      <c r="D32" s="80">
        <v>-15829</v>
      </c>
      <c r="E32" s="80">
        <v>16736</v>
      </c>
      <c r="F32" s="80">
        <v>7501</v>
      </c>
      <c r="G32" s="80">
        <v>6075</v>
      </c>
    </row>
    <row r="33" spans="1:7" ht="15.6" x14ac:dyDescent="0.3">
      <c r="A33" s="9" t="s">
        <v>45</v>
      </c>
      <c r="B33" s="80">
        <v>159156</v>
      </c>
      <c r="C33" s="80">
        <v>131426</v>
      </c>
      <c r="D33" s="80">
        <v>119466</v>
      </c>
      <c r="E33" s="80">
        <v>232993</v>
      </c>
      <c r="F33" s="80">
        <v>198057</v>
      </c>
      <c r="G33" s="80">
        <v>188380</v>
      </c>
    </row>
    <row r="34" spans="1:7" ht="15.6" x14ac:dyDescent="0.3">
      <c r="A34" s="9" t="s">
        <v>46</v>
      </c>
      <c r="B34" s="80">
        <v>30680</v>
      </c>
      <c r="C34" s="80">
        <v>37665</v>
      </c>
      <c r="D34" s="80">
        <v>11177</v>
      </c>
      <c r="E34" s="80">
        <v>32171</v>
      </c>
      <c r="F34" s="80">
        <v>22479</v>
      </c>
      <c r="G34" s="80">
        <v>35760</v>
      </c>
    </row>
    <row r="35" spans="1:7" ht="15.6" x14ac:dyDescent="0.3">
      <c r="A35" s="9" t="s">
        <v>47</v>
      </c>
      <c r="B35" s="80">
        <v>101990</v>
      </c>
      <c r="C35" s="80">
        <v>17517</v>
      </c>
      <c r="D35" s="80">
        <v>-49078</v>
      </c>
      <c r="E35" s="80">
        <v>103635</v>
      </c>
      <c r="F35" s="80">
        <v>64018</v>
      </c>
      <c r="G35" s="80">
        <v>-56</v>
      </c>
    </row>
    <row r="36" spans="1:7" ht="15.6" x14ac:dyDescent="0.3">
      <c r="A36" s="9" t="s">
        <v>48</v>
      </c>
      <c r="B36" s="80">
        <v>-3834</v>
      </c>
      <c r="C36" s="80">
        <v>-4982</v>
      </c>
      <c r="D36" s="80">
        <v>-10875</v>
      </c>
      <c r="E36" s="80">
        <v>-13344</v>
      </c>
      <c r="F36" s="80">
        <v>-18116</v>
      </c>
      <c r="G36" s="80">
        <v>-16548</v>
      </c>
    </row>
    <row r="37" spans="1:7" ht="15.6" x14ac:dyDescent="0.3">
      <c r="A37" s="9" t="s">
        <v>13</v>
      </c>
      <c r="B37" s="80">
        <v>-63631</v>
      </c>
      <c r="C37" s="80">
        <v>-40007</v>
      </c>
      <c r="D37" s="80">
        <v>-67689</v>
      </c>
      <c r="E37" s="80">
        <v>-144737</v>
      </c>
      <c r="F37" s="80">
        <v>-77140</v>
      </c>
      <c r="G37" s="80">
        <v>-11708</v>
      </c>
    </row>
    <row r="38" spans="1:7" ht="15.6" x14ac:dyDescent="0.3">
      <c r="A38" s="9" t="s">
        <v>49</v>
      </c>
      <c r="B38" s="80">
        <v>-1688</v>
      </c>
      <c r="C38" s="80">
        <v>-1860</v>
      </c>
      <c r="D38" s="80">
        <v>-2468</v>
      </c>
      <c r="E38" s="80">
        <v>-3679</v>
      </c>
      <c r="F38" s="80">
        <v>-4770</v>
      </c>
      <c r="G38" s="80">
        <v>-3730</v>
      </c>
    </row>
    <row r="39" spans="1:7" ht="15.6" x14ac:dyDescent="0.3">
      <c r="A39" s="9" t="s">
        <v>50</v>
      </c>
      <c r="B39" s="80">
        <v>12</v>
      </c>
      <c r="C39" s="80">
        <v>117</v>
      </c>
      <c r="D39" s="80">
        <v>287</v>
      </c>
      <c r="E39" s="80">
        <v>70</v>
      </c>
      <c r="F39" s="80">
        <v>65</v>
      </c>
      <c r="G39" s="80">
        <v>183</v>
      </c>
    </row>
    <row r="40" spans="1:7" ht="15.6" x14ac:dyDescent="0.3">
      <c r="A40" s="9" t="s">
        <v>51</v>
      </c>
      <c r="B40" s="80">
        <v>-61311</v>
      </c>
      <c r="C40" s="80">
        <v>-37579</v>
      </c>
      <c r="D40" s="80">
        <v>-65825</v>
      </c>
      <c r="E40" s="80">
        <v>-142322</v>
      </c>
      <c r="F40" s="80">
        <v>-72583</v>
      </c>
      <c r="G40" s="80">
        <v>-9467</v>
      </c>
    </row>
    <row r="41" spans="1:7" ht="15.6" x14ac:dyDescent="0.3">
      <c r="A41" s="9" t="s">
        <v>52</v>
      </c>
      <c r="B41" s="80">
        <v>-644</v>
      </c>
      <c r="C41" s="80">
        <v>-686</v>
      </c>
      <c r="D41" s="80">
        <v>316</v>
      </c>
      <c r="E41" s="80">
        <v>1195</v>
      </c>
      <c r="F41" s="80">
        <v>148</v>
      </c>
      <c r="G41" s="80">
        <v>1306</v>
      </c>
    </row>
    <row r="42" spans="1:7" ht="15.6" x14ac:dyDescent="0.3">
      <c r="A42" s="9" t="s">
        <v>14</v>
      </c>
      <c r="B42" s="80">
        <v>-54667</v>
      </c>
      <c r="C42" s="80">
        <v>17451</v>
      </c>
      <c r="D42" s="80">
        <v>24791</v>
      </c>
      <c r="E42" s="80">
        <v>13765</v>
      </c>
      <c r="F42" s="80">
        <v>5589</v>
      </c>
      <c r="G42" s="80">
        <v>-4661</v>
      </c>
    </row>
    <row r="43" spans="1:7" ht="15.6" x14ac:dyDescent="0.3">
      <c r="A43" s="9" t="s">
        <v>53</v>
      </c>
      <c r="B43" s="80">
        <v>15460</v>
      </c>
      <c r="C43" s="80">
        <v>798</v>
      </c>
      <c r="D43" s="80">
        <v>942</v>
      </c>
      <c r="E43" s="80">
        <v>1171</v>
      </c>
      <c r="F43" s="80">
        <v>1438</v>
      </c>
      <c r="G43" s="80">
        <v>1361</v>
      </c>
    </row>
    <row r="44" spans="1:7" ht="15.6" x14ac:dyDescent="0.3">
      <c r="A44" s="9" t="s">
        <v>54</v>
      </c>
      <c r="B44" s="80">
        <v>29422</v>
      </c>
      <c r="C44" s="80">
        <v>52641</v>
      </c>
      <c r="D44" s="80">
        <v>54220</v>
      </c>
      <c r="E44" s="80">
        <v>57339</v>
      </c>
      <c r="F44" s="80">
        <v>51126</v>
      </c>
      <c r="G44" s="80">
        <v>51985</v>
      </c>
    </row>
    <row r="45" spans="1:7" ht="15.6" x14ac:dyDescent="0.3">
      <c r="A45" s="9" t="s">
        <v>55</v>
      </c>
      <c r="B45" s="80">
        <v>-99548</v>
      </c>
      <c r="C45" s="80">
        <v>-34603</v>
      </c>
      <c r="D45" s="80">
        <v>-26892</v>
      </c>
      <c r="E45" s="80">
        <v>-39147</v>
      </c>
      <c r="F45" s="80">
        <v>-39933</v>
      </c>
      <c r="G45" s="80">
        <v>-50153</v>
      </c>
    </row>
    <row r="46" spans="1:7" ht="15.6" x14ac:dyDescent="0.3">
      <c r="A46" s="9" t="s">
        <v>56</v>
      </c>
      <c r="B46" s="80">
        <v>0</v>
      </c>
      <c r="C46" s="80">
        <v>-1385</v>
      </c>
      <c r="D46" s="80">
        <v>-3479</v>
      </c>
      <c r="E46" s="80">
        <v>-5599</v>
      </c>
      <c r="F46" s="80">
        <v>-7041</v>
      </c>
      <c r="G46" s="80">
        <v>-7853</v>
      </c>
    </row>
    <row r="47" spans="1:7" ht="15.6" x14ac:dyDescent="0.3">
      <c r="A47" s="9" t="s">
        <v>15</v>
      </c>
      <c r="B47" s="80">
        <v>19718</v>
      </c>
      <c r="C47" s="80">
        <v>35555</v>
      </c>
      <c r="D47" s="80">
        <v>-46669</v>
      </c>
      <c r="E47" s="80">
        <v>26312</v>
      </c>
      <c r="F47" s="80">
        <v>51255</v>
      </c>
      <c r="G47" s="80">
        <v>50957</v>
      </c>
    </row>
    <row r="48" spans="1:7" ht="15.6" x14ac:dyDescent="0.3">
      <c r="A48" s="9" t="s">
        <v>57</v>
      </c>
      <c r="B48" s="80">
        <v>136339</v>
      </c>
      <c r="C48" s="80">
        <v>56369</v>
      </c>
      <c r="D48" s="80">
        <v>-5951</v>
      </c>
      <c r="E48" s="80">
        <v>153676</v>
      </c>
      <c r="F48" s="80">
        <v>118100</v>
      </c>
      <c r="G48" s="80">
        <v>63778</v>
      </c>
    </row>
    <row r="49" spans="1:7" ht="15.6" x14ac:dyDescent="0.3">
      <c r="A49" s="9" t="s">
        <v>58</v>
      </c>
      <c r="B49" s="81">
        <f>B29/B30</f>
        <v>3.4625805966030256</v>
      </c>
      <c r="C49" s="81">
        <f t="shared" ref="C49:G49" si="1">C29/C30</f>
        <v>1.2750351061962437</v>
      </c>
      <c r="D49" s="81">
        <f t="shared" si="1"/>
        <v>-6.7119947315024117E-2</v>
      </c>
      <c r="E49" s="81">
        <f t="shared" si="1"/>
        <v>2.3477676772200082</v>
      </c>
      <c r="F49" s="81">
        <f t="shared" si="1"/>
        <v>1.5968610215333403</v>
      </c>
      <c r="G49" s="81">
        <f t="shared" si="1"/>
        <v>0.80215655903729299</v>
      </c>
    </row>
    <row r="51" spans="1:7" x14ac:dyDescent="0.3">
      <c r="A51" s="71" t="s">
        <v>86</v>
      </c>
    </row>
    <row r="52" spans="1:7" x14ac:dyDescent="0.3">
      <c r="A52" s="67" t="s">
        <v>17</v>
      </c>
      <c r="B52" s="68" t="s">
        <v>66</v>
      </c>
      <c r="C52" s="68" t="s">
        <v>67</v>
      </c>
      <c r="D52" s="68" t="s">
        <v>68</v>
      </c>
      <c r="E52" s="68" t="s">
        <v>69</v>
      </c>
      <c r="F52" s="68" t="s">
        <v>70</v>
      </c>
      <c r="G52" s="68" t="s">
        <v>71</v>
      </c>
    </row>
    <row r="53" spans="1:7" ht="15.6" x14ac:dyDescent="0.3">
      <c r="A53" s="28" t="s">
        <v>86</v>
      </c>
      <c r="B53" s="29"/>
      <c r="C53" s="29"/>
      <c r="D53" s="29"/>
      <c r="E53" s="29"/>
      <c r="F53" s="29"/>
      <c r="G53" s="11"/>
    </row>
    <row r="54" spans="1:7" ht="15.6" x14ac:dyDescent="0.3">
      <c r="A54" s="31" t="s">
        <v>82</v>
      </c>
      <c r="B54" s="80">
        <v>1383</v>
      </c>
      <c r="C54" s="80">
        <v>1390</v>
      </c>
      <c r="D54" s="80">
        <v>1397</v>
      </c>
      <c r="E54" s="80">
        <v>1405</v>
      </c>
      <c r="F54" s="80">
        <v>1425</v>
      </c>
      <c r="G54" s="80">
        <v>1432</v>
      </c>
    </row>
    <row r="55" spans="1:7" ht="15.6" x14ac:dyDescent="0.3">
      <c r="A55" s="31" t="s">
        <v>9</v>
      </c>
      <c r="B55" s="80">
        <v>156204</v>
      </c>
      <c r="C55" s="80">
        <v>180663</v>
      </c>
      <c r="D55" s="80">
        <v>213101</v>
      </c>
      <c r="E55" s="80">
        <v>254739</v>
      </c>
      <c r="F55" s="80">
        <v>312481</v>
      </c>
      <c r="G55" s="80">
        <v>361628</v>
      </c>
    </row>
    <row r="56" spans="1:7" ht="15.6" x14ac:dyDescent="0.3">
      <c r="A56" s="30" t="s">
        <v>83</v>
      </c>
      <c r="B56" s="80">
        <f t="shared" ref="B56:G56" si="2">SUM(B54:B55)</f>
        <v>157587</v>
      </c>
      <c r="C56" s="80">
        <f t="shared" si="2"/>
        <v>182053</v>
      </c>
      <c r="D56" s="80">
        <f t="shared" si="2"/>
        <v>214498</v>
      </c>
      <c r="E56" s="80">
        <f t="shared" si="2"/>
        <v>256144</v>
      </c>
      <c r="F56" s="80">
        <f t="shared" si="2"/>
        <v>313906</v>
      </c>
      <c r="G56" s="80">
        <f t="shared" si="2"/>
        <v>363060</v>
      </c>
    </row>
    <row r="57" spans="1:7" ht="15.6" x14ac:dyDescent="0.3">
      <c r="A57" s="31" t="s">
        <v>84</v>
      </c>
      <c r="B57" s="80">
        <v>959940</v>
      </c>
      <c r="C57" s="80">
        <v>1091366</v>
      </c>
      <c r="D57" s="80">
        <v>1210832</v>
      </c>
      <c r="E57" s="80">
        <v>1443580</v>
      </c>
      <c r="F57" s="80">
        <v>1641637</v>
      </c>
      <c r="G57" s="80">
        <v>1830020</v>
      </c>
    </row>
    <row r="58" spans="1:7" ht="15.6" x14ac:dyDescent="0.3">
      <c r="A58" s="31" t="s">
        <v>22</v>
      </c>
      <c r="B58" s="80">
        <v>143900</v>
      </c>
      <c r="C58" s="80">
        <v>161603</v>
      </c>
      <c r="D58" s="80">
        <v>189062</v>
      </c>
      <c r="E58" s="80">
        <v>207428</v>
      </c>
      <c r="F58" s="80">
        <v>218883</v>
      </c>
      <c r="G58" s="80">
        <v>220264</v>
      </c>
    </row>
    <row r="59" spans="1:7" ht="15.6" x14ac:dyDescent="0.3">
      <c r="A59" s="31" t="s">
        <v>23</v>
      </c>
      <c r="B59" s="80">
        <v>312385</v>
      </c>
      <c r="C59" s="80">
        <v>317616</v>
      </c>
      <c r="D59" s="80">
        <v>344099</v>
      </c>
      <c r="E59" s="80">
        <v>456911</v>
      </c>
      <c r="F59" s="80">
        <v>467815</v>
      </c>
      <c r="G59" s="80">
        <v>501153</v>
      </c>
    </row>
    <row r="60" spans="1:7" ht="16.2" thickBot="1" x14ac:dyDescent="0.35">
      <c r="A60" s="33" t="s">
        <v>85</v>
      </c>
      <c r="B60" s="80">
        <f t="shared" ref="B60:G60" si="3">SUM(B56:B59)</f>
        <v>1573812</v>
      </c>
      <c r="C60" s="80">
        <f t="shared" si="3"/>
        <v>1752638</v>
      </c>
      <c r="D60" s="80">
        <f t="shared" si="3"/>
        <v>1958491</v>
      </c>
      <c r="E60" s="80">
        <f t="shared" si="3"/>
        <v>2364063</v>
      </c>
      <c r="F60" s="80">
        <f t="shared" si="3"/>
        <v>2642241</v>
      </c>
      <c r="G60" s="80">
        <f t="shared" si="3"/>
        <v>2914497</v>
      </c>
    </row>
    <row r="61" spans="1:7" ht="15" thickTop="1" x14ac:dyDescent="0.3">
      <c r="A61" s="30"/>
      <c r="B61" s="31"/>
      <c r="C61" s="31"/>
      <c r="D61" s="31"/>
      <c r="E61" s="31"/>
      <c r="F61" s="31"/>
      <c r="G61" s="10"/>
    </row>
    <row r="62" spans="1:7" x14ac:dyDescent="0.3">
      <c r="A62" s="28" t="s">
        <v>87</v>
      </c>
      <c r="B62" s="29"/>
      <c r="C62" s="29"/>
      <c r="D62" s="29"/>
      <c r="E62" s="29"/>
      <c r="F62" s="29"/>
      <c r="G62" s="10"/>
    </row>
    <row r="63" spans="1:7" ht="15.6" x14ac:dyDescent="0.3">
      <c r="A63" s="31" t="s">
        <v>88</v>
      </c>
      <c r="B63" s="80">
        <v>10809</v>
      </c>
      <c r="C63" s="80">
        <v>10707</v>
      </c>
      <c r="D63" s="80">
        <v>11070</v>
      </c>
      <c r="E63" s="80">
        <v>15714</v>
      </c>
      <c r="F63" s="80">
        <v>24272</v>
      </c>
      <c r="G63" s="80">
        <v>27970</v>
      </c>
    </row>
    <row r="64" spans="1:7" ht="15.6" x14ac:dyDescent="0.3">
      <c r="A64" s="31" t="s">
        <v>10</v>
      </c>
      <c r="B64" s="80">
        <v>536579</v>
      </c>
      <c r="C64" s="80">
        <v>567098</v>
      </c>
      <c r="D64" s="80">
        <v>639552</v>
      </c>
      <c r="E64" s="80">
        <v>827163</v>
      </c>
      <c r="F64" s="80">
        <v>886377</v>
      </c>
      <c r="G64" s="80">
        <v>870720</v>
      </c>
    </row>
    <row r="65" spans="1:7" ht="15.6" x14ac:dyDescent="0.3">
      <c r="A65" s="10" t="s">
        <v>24</v>
      </c>
      <c r="B65" s="80">
        <v>1026424</v>
      </c>
      <c r="C65" s="80">
        <v>1174833</v>
      </c>
      <c r="D65" s="80">
        <v>1307868</v>
      </c>
      <c r="E65" s="80">
        <v>1521186</v>
      </c>
      <c r="F65" s="80">
        <v>1731593</v>
      </c>
      <c r="G65" s="80">
        <v>2015808</v>
      </c>
    </row>
    <row r="66" spans="1:7" ht="15.6" x14ac:dyDescent="0.3">
      <c r="A66" s="10"/>
      <c r="B66" s="80"/>
      <c r="C66" s="80"/>
      <c r="D66" s="80"/>
      <c r="E66" s="80"/>
      <c r="F66" s="80"/>
      <c r="G66" s="80"/>
    </row>
    <row r="67" spans="1:7" ht="15.6" x14ac:dyDescent="0.3">
      <c r="A67" s="36" t="s">
        <v>89</v>
      </c>
      <c r="B67" s="80">
        <f t="shared" ref="B67:G67" si="4">SUM(B63:B65)</f>
        <v>1573812</v>
      </c>
      <c r="C67" s="80">
        <f t="shared" si="4"/>
        <v>1752638</v>
      </c>
      <c r="D67" s="80">
        <f t="shared" si="4"/>
        <v>1958490</v>
      </c>
      <c r="E67" s="80">
        <f t="shared" si="4"/>
        <v>2364063</v>
      </c>
      <c r="F67" s="80">
        <f t="shared" si="4"/>
        <v>2642242</v>
      </c>
      <c r="G67" s="80">
        <f t="shared" si="4"/>
        <v>2914498</v>
      </c>
    </row>
  </sheetData>
  <conditionalFormatting sqref="E1:K1">
    <cfRule type="cellIs" dxfId="0" priority="1" operator="notEqual">
      <formula>""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24EF-36E5-47ED-85F2-D55C3D527546}">
  <dimension ref="A1:L69"/>
  <sheetViews>
    <sheetView topLeftCell="A41" zoomScale="61" zoomScaleNormal="88" workbookViewId="0">
      <selection activeCell="C29" sqref="C29"/>
    </sheetView>
  </sheetViews>
  <sheetFormatPr defaultRowHeight="15.6" x14ac:dyDescent="0.3"/>
  <cols>
    <col min="1" max="1" width="8.88671875" style="20"/>
    <col min="2" max="2" width="33.5546875" style="11" customWidth="1"/>
    <col min="3" max="3" width="15.5546875" style="11" bestFit="1" customWidth="1"/>
    <col min="4" max="4" width="13.6640625" style="11" bestFit="1" customWidth="1"/>
    <col min="5" max="5" width="12.33203125" style="11" bestFit="1" customWidth="1"/>
    <col min="6" max="6" width="13.6640625" style="11" bestFit="1" customWidth="1"/>
    <col min="7" max="7" width="12.5546875" style="11" customWidth="1"/>
    <col min="8" max="8" width="12.88671875" style="11" customWidth="1"/>
    <col min="9" max="12" width="12.88671875" style="11" bestFit="1" customWidth="1"/>
    <col min="14" max="15" width="11.6640625" bestFit="1" customWidth="1"/>
  </cols>
  <sheetData>
    <row r="1" spans="1:12" ht="14.4" customHeight="1" x14ac:dyDescent="0.35">
      <c r="A1"/>
      <c r="B1" s="23"/>
      <c r="C1" s="23"/>
      <c r="D1" s="23"/>
      <c r="E1" s="23"/>
      <c r="F1" s="23"/>
      <c r="G1" s="23"/>
      <c r="H1" s="23"/>
      <c r="I1" s="23"/>
      <c r="J1" s="23"/>
      <c r="K1" s="23"/>
      <c r="L1"/>
    </row>
    <row r="2" spans="1:12" ht="14.4" customHeight="1" x14ac:dyDescent="0.35">
      <c r="A2"/>
      <c r="B2" s="23"/>
      <c r="C2" s="23"/>
      <c r="D2" s="23"/>
      <c r="E2" s="23"/>
      <c r="F2" s="23"/>
      <c r="G2" s="23"/>
      <c r="H2" s="23"/>
      <c r="I2" s="23"/>
      <c r="J2" s="23"/>
      <c r="K2" s="23"/>
      <c r="L2"/>
    </row>
    <row r="3" spans="1:12" x14ac:dyDescent="0.3">
      <c r="A3" s="11"/>
      <c r="B3" s="85" t="s">
        <v>76</v>
      </c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2" x14ac:dyDescent="0.3">
      <c r="A4" s="11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</row>
    <row r="5" spans="1:12" x14ac:dyDescent="0.3">
      <c r="A5" s="11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</row>
    <row r="6" spans="1:12" x14ac:dyDescent="0.3">
      <c r="A6" s="11"/>
      <c r="C6" s="82" t="s">
        <v>30</v>
      </c>
      <c r="D6" s="82"/>
      <c r="E6" s="82"/>
      <c r="F6" s="82"/>
      <c r="G6" s="82"/>
      <c r="H6" s="83" t="s">
        <v>31</v>
      </c>
      <c r="I6" s="83"/>
      <c r="J6" s="83"/>
      <c r="K6" s="83"/>
      <c r="L6" s="83"/>
    </row>
    <row r="7" spans="1:12" x14ac:dyDescent="0.3">
      <c r="A7" s="11"/>
      <c r="B7" s="12" t="s">
        <v>17</v>
      </c>
      <c r="C7" s="13" t="s">
        <v>66</v>
      </c>
      <c r="D7" s="13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4" t="s">
        <v>72</v>
      </c>
      <c r="J7" s="14" t="s">
        <v>73</v>
      </c>
      <c r="K7" s="14" t="s">
        <v>74</v>
      </c>
      <c r="L7" s="14" t="s">
        <v>75</v>
      </c>
    </row>
    <row r="8" spans="1:12" ht="21" x14ac:dyDescent="0.4">
      <c r="A8" s="11"/>
      <c r="B8" s="72" t="s">
        <v>81</v>
      </c>
      <c r="C8" s="15"/>
    </row>
    <row r="9" spans="1:12" x14ac:dyDescent="0.3">
      <c r="A9" s="11"/>
    </row>
    <row r="10" spans="1:12" x14ac:dyDescent="0.3">
      <c r="A10" s="11"/>
      <c r="B10" s="11" t="s">
        <v>32</v>
      </c>
      <c r="C10" s="74">
        <f>SUM('Data Sheet'!B13+'Data Sheet'!B18)</f>
        <v>161336.47</v>
      </c>
      <c r="D10" s="74">
        <f>SUM('Data Sheet'!C13+'Data Sheet'!C18)</f>
        <v>157536.32000000001</v>
      </c>
      <c r="E10" s="74">
        <f>SUM('Data Sheet'!D13+'Data Sheet'!D18)</f>
        <v>186178.8</v>
      </c>
      <c r="F10" s="74">
        <f>SUM('Data Sheet'!E13+'Data Sheet'!E18)</f>
        <v>236037.72999999998</v>
      </c>
      <c r="G10" s="74">
        <f>SUM('Data Sheet'!F13+'Data Sheet'!F18)</f>
        <v>294586.93</v>
      </c>
      <c r="H10" s="74">
        <f>G10*(1+H11)</f>
        <v>344233.10563807929</v>
      </c>
      <c r="I10" s="74">
        <f t="shared" ref="I10:L10" si="0">H10*(1+I11)</f>
        <v>402246.0569355099</v>
      </c>
      <c r="J10" s="74">
        <f t="shared" si="0"/>
        <v>470035.82069843443</v>
      </c>
      <c r="K10" s="74">
        <f t="shared" si="0"/>
        <v>549250.06455705792</v>
      </c>
      <c r="L10" s="74">
        <f t="shared" si="0"/>
        <v>641814.13443696091</v>
      </c>
    </row>
    <row r="11" spans="1:12" x14ac:dyDescent="0.3">
      <c r="A11" s="11"/>
      <c r="B11" s="11" t="s">
        <v>33</v>
      </c>
      <c r="C11" s="74"/>
      <c r="D11" s="75">
        <f>D10/C10-1</f>
        <v>-2.3554190816248766E-2</v>
      </c>
      <c r="E11" s="75">
        <f>E10/D10-1</f>
        <v>0.18181508873636232</v>
      </c>
      <c r="F11" s="75">
        <f t="shared" ref="F11" si="1">F10/E10-1</f>
        <v>0.26780132861528805</v>
      </c>
      <c r="G11" s="75">
        <f>G10/F10-1</f>
        <v>0.24805017401243434</v>
      </c>
      <c r="H11" s="74">
        <f>Assumption!$G$4</f>
        <v>0.16852810013695899</v>
      </c>
      <c r="I11" s="74">
        <f>Assumption!$G$4</f>
        <v>0.16852810013695899</v>
      </c>
      <c r="J11" s="74">
        <f>Assumption!$G$4</f>
        <v>0.16852810013695899</v>
      </c>
      <c r="K11" s="74">
        <f>Assumption!$G$4</f>
        <v>0.16852810013695899</v>
      </c>
      <c r="L11" s="74">
        <f>Assumption!$G$4</f>
        <v>0.16852810013695899</v>
      </c>
    </row>
    <row r="12" spans="1:12" x14ac:dyDescent="0.3">
      <c r="A12" s="11"/>
      <c r="C12" s="74"/>
      <c r="D12" s="74"/>
      <c r="E12" s="74"/>
      <c r="F12" s="74"/>
      <c r="G12" s="74"/>
      <c r="H12" s="74"/>
      <c r="I12" s="74"/>
      <c r="J12" s="74"/>
      <c r="K12" s="74"/>
      <c r="L12" s="74"/>
    </row>
    <row r="13" spans="1:12" x14ac:dyDescent="0.3">
      <c r="A13" s="11"/>
      <c r="B13" s="11" t="s">
        <v>34</v>
      </c>
      <c r="C13" s="74">
        <f>SUM('Data Sheet'!B14:B17)</f>
        <v>91308.97</v>
      </c>
      <c r="D13" s="74">
        <f>SUM('Data Sheet'!C14:C17)</f>
        <v>80798.37</v>
      </c>
      <c r="E13" s="74">
        <f>SUM('Data Sheet'!D14:D17)</f>
        <v>87864.38</v>
      </c>
      <c r="F13" s="74">
        <f>SUM('Data Sheet'!E14:E17)</f>
        <v>99559.99</v>
      </c>
      <c r="G13" s="74">
        <f>SUM('Data Sheet'!F14:F17)</f>
        <v>130078.42000000001</v>
      </c>
      <c r="H13" s="74">
        <f>H10*H14</f>
        <v>166205.06721168387</v>
      </c>
      <c r="I13" s="74">
        <f t="shared" ref="I13:L13" si="2">I10*I14</f>
        <v>194215.29142200452</v>
      </c>
      <c r="J13" s="74">
        <f t="shared" si="2"/>
        <v>226946.02550290077</v>
      </c>
      <c r="K13" s="74">
        <f t="shared" si="2"/>
        <v>265192.80801453849</v>
      </c>
      <c r="L13" s="74">
        <f t="shared" si="2"/>
        <v>309885.24811921397</v>
      </c>
    </row>
    <row r="14" spans="1:12" x14ac:dyDescent="0.3">
      <c r="A14" s="11"/>
      <c r="B14" s="11" t="s">
        <v>35</v>
      </c>
      <c r="C14" s="18">
        <f>C13/C10</f>
        <v>0.56595368672687585</v>
      </c>
      <c r="D14" s="18">
        <f t="shared" ref="D14" si="3">D13/D10</f>
        <v>0.51288725038137228</v>
      </c>
      <c r="E14" s="18">
        <f>E13/E10</f>
        <v>0.47193547278207837</v>
      </c>
      <c r="F14" s="18">
        <f>F13/F10</f>
        <v>0.42179693051615103</v>
      </c>
      <c r="G14" s="18">
        <f>G13/G10</f>
        <v>0.44156208831124999</v>
      </c>
      <c r="H14" s="18">
        <f>Assumption!$G$9</f>
        <v>0.48282708574354549</v>
      </c>
      <c r="I14" s="18">
        <f>Assumption!$G$9</f>
        <v>0.48282708574354549</v>
      </c>
      <c r="J14" s="18">
        <f>Assumption!$G$9</f>
        <v>0.48282708574354549</v>
      </c>
      <c r="K14" s="18">
        <f>Assumption!$G$9</f>
        <v>0.48282708574354549</v>
      </c>
      <c r="L14" s="18">
        <f>Assumption!$G$9</f>
        <v>0.48282708574354549</v>
      </c>
    </row>
    <row r="15" spans="1:12" x14ac:dyDescent="0.3">
      <c r="A15" s="11"/>
      <c r="C15" s="74"/>
      <c r="D15" s="74"/>
      <c r="E15" s="74"/>
      <c r="F15" s="74"/>
      <c r="G15" s="74"/>
      <c r="H15" s="74"/>
      <c r="I15" s="74"/>
      <c r="J15" s="74"/>
      <c r="K15" s="74"/>
      <c r="L15" s="74"/>
    </row>
    <row r="16" spans="1:12" x14ac:dyDescent="0.3">
      <c r="A16" s="11"/>
      <c r="B16" s="19" t="s">
        <v>2</v>
      </c>
      <c r="C16" s="76">
        <f>C10-C13</f>
        <v>70027.5</v>
      </c>
      <c r="D16" s="76">
        <f t="shared" ref="D16" si="4">D10-D13</f>
        <v>76737.950000000012</v>
      </c>
      <c r="E16" s="76">
        <f t="shared" ref="E16:L16" si="5">E10-E13</f>
        <v>98314.419999999984</v>
      </c>
      <c r="F16" s="76">
        <f t="shared" si="5"/>
        <v>136477.74</v>
      </c>
      <c r="G16" s="76">
        <f t="shared" si="5"/>
        <v>164508.50999999998</v>
      </c>
      <c r="H16" s="76">
        <f t="shared" si="5"/>
        <v>178028.03842639542</v>
      </c>
      <c r="I16" s="76">
        <f t="shared" si="5"/>
        <v>208030.76551350538</v>
      </c>
      <c r="J16" s="76">
        <f t="shared" si="5"/>
        <v>243089.79519553366</v>
      </c>
      <c r="K16" s="76">
        <f t="shared" si="5"/>
        <v>284057.25654251943</v>
      </c>
      <c r="L16" s="76">
        <f t="shared" si="5"/>
        <v>331928.88631774695</v>
      </c>
    </row>
    <row r="17" spans="1:12" x14ac:dyDescent="0.3">
      <c r="A17" s="11"/>
      <c r="B17" s="11" t="s">
        <v>36</v>
      </c>
      <c r="C17" s="18">
        <f>C16/C10</f>
        <v>0.43404631327312415</v>
      </c>
      <c r="D17" s="18">
        <f t="shared" ref="D17" si="6">D16/D10</f>
        <v>0.48711274961862766</v>
      </c>
      <c r="E17" s="18">
        <f>E16/E10</f>
        <v>0.52806452721792163</v>
      </c>
      <c r="F17" s="18">
        <f>F16/F10</f>
        <v>0.57820306948384903</v>
      </c>
      <c r="G17" s="18">
        <f>G16/G10</f>
        <v>0.55843791168875001</v>
      </c>
      <c r="H17" s="18">
        <f t="shared" ref="H17" si="7">H16/H10</f>
        <v>0.51717291425645451</v>
      </c>
      <c r="I17" s="18">
        <f t="shared" ref="I17" si="8">I16/I10</f>
        <v>0.51717291425645451</v>
      </c>
      <c r="J17" s="18">
        <f t="shared" ref="J17" si="9">J16/J10</f>
        <v>0.51717291425645451</v>
      </c>
      <c r="K17" s="18">
        <f t="shared" ref="K17" si="10">K16/K10</f>
        <v>0.51717291425645451</v>
      </c>
      <c r="L17" s="18">
        <f t="shared" ref="L17" si="11">L16/L10</f>
        <v>0.51717291425645451</v>
      </c>
    </row>
    <row r="18" spans="1:12" x14ac:dyDescent="0.3">
      <c r="A18" s="11"/>
      <c r="C18" s="75"/>
      <c r="D18" s="75"/>
      <c r="E18" s="75"/>
      <c r="F18" s="75"/>
      <c r="G18" s="75"/>
      <c r="H18" s="74"/>
      <c r="I18" s="74"/>
      <c r="J18" s="74"/>
      <c r="K18" s="74"/>
      <c r="L18" s="74"/>
    </row>
    <row r="19" spans="1:12" x14ac:dyDescent="0.3">
      <c r="A19" s="11"/>
      <c r="B19" s="11" t="s">
        <v>5</v>
      </c>
      <c r="C19" s="74">
        <f>'Data Sheet'!B20</f>
        <v>42659.09</v>
      </c>
      <c r="D19" s="74">
        <f>'Data Sheet'!C20</f>
        <v>41166.67</v>
      </c>
      <c r="E19" s="74">
        <f>'Data Sheet'!D20</f>
        <v>50543.39</v>
      </c>
      <c r="F19" s="74">
        <f>'Data Sheet'!E20</f>
        <v>74108.160000000003</v>
      </c>
      <c r="G19" s="74">
        <f>'Data Sheet'!F20</f>
        <v>89027.65</v>
      </c>
      <c r="H19" s="74">
        <f>H10*H20</f>
        <v>97306.648065236252</v>
      </c>
      <c r="I19" s="74">
        <f t="shared" ref="I19:L19" si="12">I10*I20</f>
        <v>113705.55259436621</v>
      </c>
      <c r="J19" s="74">
        <f t="shared" si="12"/>
        <v>132868.13334811782</v>
      </c>
      <c r="K19" s="74">
        <f t="shared" si="12"/>
        <v>155260.14743002024</v>
      </c>
      <c r="L19" s="74">
        <f t="shared" si="12"/>
        <v>181425.84510338568</v>
      </c>
    </row>
    <row r="20" spans="1:12" x14ac:dyDescent="0.3">
      <c r="A20" s="11"/>
      <c r="B20" s="11" t="s">
        <v>37</v>
      </c>
      <c r="C20" s="18">
        <f>C19/C10</f>
        <v>0.26441070639515041</v>
      </c>
      <c r="D20" s="18">
        <f>D19/D10</f>
        <v>0.26131542237371036</v>
      </c>
      <c r="E20" s="18">
        <f>E19/E10</f>
        <v>0.2714776870406298</v>
      </c>
      <c r="F20" s="18">
        <f>F19/F10</f>
        <v>0.31396743224059986</v>
      </c>
      <c r="G20" s="18">
        <f>G19/G10</f>
        <v>0.30221181231631694</v>
      </c>
      <c r="H20" s="18">
        <f>Assumption!$G$11</f>
        <v>0.28267661207328143</v>
      </c>
      <c r="I20" s="18">
        <f>Assumption!$G$11</f>
        <v>0.28267661207328143</v>
      </c>
      <c r="J20" s="18">
        <f>Assumption!$G$11</f>
        <v>0.28267661207328143</v>
      </c>
      <c r="K20" s="18">
        <f>Assumption!$G$11</f>
        <v>0.28267661207328143</v>
      </c>
      <c r="L20" s="18">
        <f>Assumption!$G$11</f>
        <v>0.28267661207328143</v>
      </c>
    </row>
    <row r="21" spans="1:12" x14ac:dyDescent="0.3">
      <c r="A21" s="11"/>
      <c r="C21" s="75"/>
      <c r="D21" s="75"/>
      <c r="E21" s="75"/>
      <c r="F21" s="75"/>
      <c r="G21" s="75"/>
      <c r="H21" s="74"/>
      <c r="I21" s="74"/>
      <c r="J21" s="74"/>
      <c r="K21" s="74"/>
      <c r="L21" s="74"/>
    </row>
    <row r="22" spans="1:12" x14ac:dyDescent="0.3">
      <c r="A22" s="11"/>
      <c r="B22" s="11" t="s">
        <v>4</v>
      </c>
      <c r="C22" s="74">
        <f>'Data Sheet'!B19</f>
        <v>1340.07</v>
      </c>
      <c r="D22" s="74">
        <f>'Data Sheet'!C19</f>
        <v>1330.01</v>
      </c>
      <c r="E22" s="74">
        <f>'Data Sheet'!D19</f>
        <v>1514.56</v>
      </c>
      <c r="F22" s="74">
        <f>'Data Sheet'!E19</f>
        <v>1935.21</v>
      </c>
      <c r="G22" s="74">
        <f>'Data Sheet'!F19</f>
        <v>2627.32</v>
      </c>
      <c r="H22" s="74">
        <f>H10*H23</f>
        <v>2891.6258013190063</v>
      </c>
      <c r="I22" s="74">
        <f t="shared" ref="I22:L22" si="13">I10*I23</f>
        <v>3378.94600392231</v>
      </c>
      <c r="J22" s="74">
        <f t="shared" si="13"/>
        <v>3948.393354428707</v>
      </c>
      <c r="K22" s="74">
        <f t="shared" si="13"/>
        <v>4613.8085850439711</v>
      </c>
      <c r="L22" s="74">
        <f t="shared" si="13"/>
        <v>5391.3649802770224</v>
      </c>
    </row>
    <row r="23" spans="1:12" x14ac:dyDescent="0.3">
      <c r="A23" s="11"/>
      <c r="B23" s="11" t="s">
        <v>64</v>
      </c>
      <c r="C23" s="18">
        <f>C22/C10</f>
        <v>8.306057520658534E-3</v>
      </c>
      <c r="D23" s="18">
        <f t="shared" ref="D23" si="14">D22/D10</f>
        <v>8.4425610551268435E-3</v>
      </c>
      <c r="E23" s="18">
        <f>E22/E10</f>
        <v>8.1349756255814313E-3</v>
      </c>
      <c r="F23" s="18">
        <f>F22/F10</f>
        <v>8.1987316180341177E-3</v>
      </c>
      <c r="G23" s="18">
        <f>G22/G10</f>
        <v>8.9186577286371818E-3</v>
      </c>
      <c r="H23" s="18">
        <f>Assumption!$G$15</f>
        <v>8.4001967096076213E-3</v>
      </c>
      <c r="I23" s="18">
        <f>Assumption!$G$15</f>
        <v>8.4001967096076213E-3</v>
      </c>
      <c r="J23" s="18">
        <f>Assumption!$G$15</f>
        <v>8.4001967096076213E-3</v>
      </c>
      <c r="K23" s="18">
        <f>Assumption!$G$15</f>
        <v>8.4001967096076213E-3</v>
      </c>
      <c r="L23" s="18">
        <f>Assumption!$G$15</f>
        <v>8.4001967096076213E-3</v>
      </c>
    </row>
    <row r="24" spans="1:12" x14ac:dyDescent="0.3">
      <c r="A24" s="11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3">
      <c r="A25" s="11"/>
      <c r="B25" s="19" t="s">
        <v>38</v>
      </c>
      <c r="C25" s="76">
        <f>C16-(C19+C22)</f>
        <v>26028.340000000004</v>
      </c>
      <c r="D25" s="76">
        <f t="shared" ref="D25" si="15">D16-(D19+D22)</f>
        <v>34241.270000000011</v>
      </c>
      <c r="E25" s="76">
        <f t="shared" ref="E25:L25" si="16">E16-(E19+E22)</f>
        <v>46256.469999999987</v>
      </c>
      <c r="F25" s="76">
        <f t="shared" si="16"/>
        <v>60434.369999999981</v>
      </c>
      <c r="G25" s="76">
        <f t="shared" si="16"/>
        <v>72853.539999999979</v>
      </c>
      <c r="H25" s="76">
        <f t="shared" si="16"/>
        <v>77829.764559840158</v>
      </c>
      <c r="I25" s="76">
        <f t="shared" si="16"/>
        <v>90946.266915216867</v>
      </c>
      <c r="J25" s="76">
        <f t="shared" si="16"/>
        <v>106273.26849298715</v>
      </c>
      <c r="K25" s="76">
        <f t="shared" si="16"/>
        <v>124183.30052745523</v>
      </c>
      <c r="L25" s="76">
        <f t="shared" si="16"/>
        <v>145111.67623408424</v>
      </c>
    </row>
    <row r="26" spans="1:12" x14ac:dyDescent="0.3">
      <c r="A26" s="11"/>
      <c r="B26" s="11" t="s">
        <v>39</v>
      </c>
      <c r="C26" s="18">
        <f t="shared" ref="C26:L26" si="17">C25/C10</f>
        <v>0.16132954935731519</v>
      </c>
      <c r="D26" s="18">
        <f t="shared" si="17"/>
        <v>0.21735476618979047</v>
      </c>
      <c r="E26" s="18">
        <f t="shared" si="17"/>
        <v>0.24845186455171045</v>
      </c>
      <c r="F26" s="18">
        <f t="shared" si="17"/>
        <v>0.25603690562521503</v>
      </c>
      <c r="G26" s="18">
        <f t="shared" si="17"/>
        <v>0.24730744164379587</v>
      </c>
      <c r="H26" s="18">
        <f t="shared" si="17"/>
        <v>0.2260961054735654</v>
      </c>
      <c r="I26" s="18">
        <f t="shared" si="17"/>
        <v>0.22609610547356546</v>
      </c>
      <c r="J26" s="18">
        <f t="shared" si="17"/>
        <v>0.22609610547356548</v>
      </c>
      <c r="K26" s="18">
        <f t="shared" si="17"/>
        <v>0.22609610547356551</v>
      </c>
      <c r="L26" s="18">
        <f t="shared" si="17"/>
        <v>0.22609610547356546</v>
      </c>
    </row>
    <row r="27" spans="1:12" x14ac:dyDescent="0.3">
      <c r="A27" s="11"/>
      <c r="C27" s="74"/>
      <c r="D27" s="74"/>
      <c r="E27" s="74"/>
      <c r="F27" s="74"/>
      <c r="G27" s="74"/>
      <c r="H27" s="74"/>
      <c r="I27" s="74"/>
      <c r="J27" s="74"/>
      <c r="K27" s="74"/>
      <c r="L27" s="74"/>
    </row>
    <row r="28" spans="1:12" x14ac:dyDescent="0.3">
      <c r="A28" s="11"/>
      <c r="B28" s="11" t="s">
        <v>7</v>
      </c>
      <c r="C28" s="74">
        <f>'Data Sheet'!B22</f>
        <v>5664.37</v>
      </c>
      <c r="D28" s="74">
        <f>'Data Sheet'!C22</f>
        <v>8457.44</v>
      </c>
      <c r="E28" s="74">
        <f>'Data Sheet'!D22</f>
        <v>11793.44</v>
      </c>
      <c r="F28" s="74">
        <f>'Data Sheet'!E22</f>
        <v>15427.62</v>
      </c>
      <c r="G28" s="74">
        <f>'Data Sheet'!F22</f>
        <v>18434.830000000002</v>
      </c>
      <c r="H28" s="74">
        <f>H25*H29</f>
        <v>19113.352910571222</v>
      </c>
      <c r="I28" s="74">
        <f>I25*I29</f>
        <v>22334.489963837012</v>
      </c>
      <c r="J28" s="74">
        <f>J25*J29</f>
        <v>26098.479124970443</v>
      </c>
      <c r="K28" s="74">
        <f>K25*K29</f>
        <v>30496.8062283658</v>
      </c>
      <c r="L28" s="74">
        <f>L25*L29</f>
        <v>35636.375042277257</v>
      </c>
    </row>
    <row r="29" spans="1:12" x14ac:dyDescent="0.3">
      <c r="B29" s="11" t="s">
        <v>40</v>
      </c>
      <c r="C29" s="18">
        <f>C28/C25</f>
        <v>0.21762317535424844</v>
      </c>
      <c r="D29" s="18">
        <f>D28/D25</f>
        <v>0.24699551155666824</v>
      </c>
      <c r="E29" s="18">
        <f>E28/E25</f>
        <v>0.25495763079197364</v>
      </c>
      <c r="F29" s="18">
        <f>F28/F25</f>
        <v>0.25527890834305056</v>
      </c>
      <c r="G29" s="18">
        <f>G28/G25</f>
        <v>0.25303959148724975</v>
      </c>
      <c r="H29" s="18">
        <f>Assumption!$G$13</f>
        <v>0.2455789635066381</v>
      </c>
      <c r="I29" s="18">
        <f>Assumption!$G$13</f>
        <v>0.2455789635066381</v>
      </c>
      <c r="J29" s="18">
        <f>Assumption!$G$13</f>
        <v>0.2455789635066381</v>
      </c>
      <c r="K29" s="18">
        <f>Assumption!$G$13</f>
        <v>0.2455789635066381</v>
      </c>
      <c r="L29" s="18">
        <f>Assumption!$G$13</f>
        <v>0.2455789635066381</v>
      </c>
    </row>
    <row r="30" spans="1:12" x14ac:dyDescent="0.3">
      <c r="B30" s="21"/>
      <c r="C30" s="77"/>
      <c r="D30" s="77"/>
      <c r="E30" s="77"/>
      <c r="F30" s="77"/>
      <c r="G30" s="77"/>
      <c r="H30" s="77"/>
      <c r="I30" s="77"/>
      <c r="J30" s="77"/>
      <c r="K30" s="77"/>
      <c r="L30" s="77"/>
    </row>
    <row r="31" spans="1:12" ht="16.2" thickBot="1" x14ac:dyDescent="0.35">
      <c r="B31" s="54" t="s">
        <v>41</v>
      </c>
      <c r="C31" s="78">
        <f t="shared" ref="C31:L31" si="18">C25-C28</f>
        <v>20363.970000000005</v>
      </c>
      <c r="D31" s="78">
        <f t="shared" si="18"/>
        <v>25783.830000000009</v>
      </c>
      <c r="E31" s="78">
        <f t="shared" si="18"/>
        <v>34463.029999999984</v>
      </c>
      <c r="F31" s="78">
        <f t="shared" si="18"/>
        <v>45006.749999999978</v>
      </c>
      <c r="G31" s="78">
        <f t="shared" si="18"/>
        <v>54418.709999999977</v>
      </c>
      <c r="H31" s="78">
        <f t="shared" si="18"/>
        <v>58716.411649268935</v>
      </c>
      <c r="I31" s="78">
        <f t="shared" si="18"/>
        <v>68611.776951379856</v>
      </c>
      <c r="J31" s="78">
        <f t="shared" si="18"/>
        <v>80174.789368016704</v>
      </c>
      <c r="K31" s="78">
        <f t="shared" si="18"/>
        <v>93686.49429908942</v>
      </c>
      <c r="L31" s="78">
        <f t="shared" si="18"/>
        <v>109475.30119180698</v>
      </c>
    </row>
    <row r="32" spans="1:12" ht="16.2" thickTop="1" x14ac:dyDescent="0.3"/>
    <row r="33" spans="1:12" ht="14.4" customHeight="1" x14ac:dyDescent="0.3">
      <c r="B33" s="84" t="s">
        <v>65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</row>
    <row r="34" spans="1:12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</row>
    <row r="35" spans="1:12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</row>
    <row r="36" spans="1:12" x14ac:dyDescent="0.3">
      <c r="C36" s="86" t="s">
        <v>30</v>
      </c>
      <c r="D36" s="86"/>
      <c r="E36" s="86"/>
      <c r="F36" s="86"/>
      <c r="G36" s="86"/>
      <c r="H36" s="86"/>
      <c r="I36" s="87" t="s">
        <v>31</v>
      </c>
      <c r="J36" s="87"/>
      <c r="K36" s="87"/>
      <c r="L36" s="87"/>
    </row>
    <row r="37" spans="1:12" ht="16.2" thickBot="1" x14ac:dyDescent="0.35">
      <c r="B37" s="34" t="s">
        <v>17</v>
      </c>
      <c r="C37" s="35" t="s">
        <v>66</v>
      </c>
      <c r="D37" s="35" t="s">
        <v>67</v>
      </c>
      <c r="E37" s="35" t="s">
        <v>68</v>
      </c>
      <c r="F37" s="35" t="s">
        <v>69</v>
      </c>
      <c r="G37" s="35" t="s">
        <v>70</v>
      </c>
      <c r="H37" s="35" t="s">
        <v>71</v>
      </c>
      <c r="I37" s="66" t="s">
        <v>72</v>
      </c>
      <c r="J37" s="66" t="s">
        <v>73</v>
      </c>
      <c r="K37" s="66" t="s">
        <v>74</v>
      </c>
      <c r="L37" s="66" t="s">
        <v>75</v>
      </c>
    </row>
    <row r="38" spans="1:12" ht="21" x14ac:dyDescent="0.4">
      <c r="B38" s="72" t="s">
        <v>93</v>
      </c>
    </row>
    <row r="39" spans="1:12" x14ac:dyDescent="0.3">
      <c r="B39" s="46" t="s">
        <v>102</v>
      </c>
    </row>
    <row r="40" spans="1:12" x14ac:dyDescent="0.3">
      <c r="B40" s="31" t="s">
        <v>82</v>
      </c>
      <c r="C40" s="74">
        <v>1383</v>
      </c>
      <c r="D40" s="74">
        <v>1390</v>
      </c>
      <c r="E40" s="74">
        <v>1397</v>
      </c>
      <c r="F40" s="74">
        <v>1405</v>
      </c>
      <c r="G40" s="74">
        <v>1425</v>
      </c>
      <c r="H40" s="74">
        <v>1432</v>
      </c>
      <c r="I40" s="74">
        <f>H40*(1+I41)</f>
        <v>1442.0157358908223</v>
      </c>
      <c r="J40" s="74">
        <f t="shared" ref="J40:L40" si="19">I40*(1+J41)</f>
        <v>1452.1015241318084</v>
      </c>
      <c r="K40" s="74">
        <f t="shared" si="19"/>
        <v>1462.2578546851357</v>
      </c>
      <c r="L40" s="74">
        <f t="shared" si="19"/>
        <v>1472.4852209398889</v>
      </c>
    </row>
    <row r="41" spans="1:12" x14ac:dyDescent="0.3">
      <c r="B41" s="11" t="s">
        <v>115</v>
      </c>
      <c r="C41" s="74"/>
      <c r="D41" s="18">
        <f>(D40/C40)-1</f>
        <v>5.0614605929140133E-3</v>
      </c>
      <c r="E41" s="18">
        <f t="shared" ref="E41:H41" si="20">(E40/D40)-1</f>
        <v>5.0359712230216847E-3</v>
      </c>
      <c r="F41" s="18">
        <f t="shared" si="20"/>
        <v>5.7265569076592193E-3</v>
      </c>
      <c r="G41" s="18">
        <f>(G40/F40)-1</f>
        <v>1.4234875444839812E-2</v>
      </c>
      <c r="H41" s="18">
        <f t="shared" si="20"/>
        <v>4.9122807017543124E-3</v>
      </c>
      <c r="I41" s="18">
        <f>Assumption!$G$19</f>
        <v>6.9942289740378086E-3</v>
      </c>
      <c r="J41" s="18">
        <f>Assumption!$G$19</f>
        <v>6.9942289740378086E-3</v>
      </c>
      <c r="K41" s="18">
        <f>Assumption!$G$19</f>
        <v>6.9942289740378086E-3</v>
      </c>
      <c r="L41" s="18">
        <f>Assumption!$G$19</f>
        <v>6.9942289740378086E-3</v>
      </c>
    </row>
    <row r="42" spans="1:12" x14ac:dyDescent="0.3"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spans="1:12" s="6" customFormat="1" x14ac:dyDescent="0.3">
      <c r="A43" s="22"/>
      <c r="B43" s="31" t="s">
        <v>9</v>
      </c>
      <c r="C43" s="74">
        <v>156204</v>
      </c>
      <c r="D43" s="74">
        <v>180663</v>
      </c>
      <c r="E43" s="74">
        <v>213101</v>
      </c>
      <c r="F43" s="74">
        <v>254739</v>
      </c>
      <c r="G43" s="74">
        <v>312481</v>
      </c>
      <c r="H43" s="74">
        <v>361628</v>
      </c>
      <c r="I43" s="74">
        <f>(H43+I31)-(Assumption!$G$24*'Financial Statement'!I31)</f>
        <v>420536.27221467532</v>
      </c>
      <c r="J43" s="74">
        <f>(I43+J31)-(Assumption!$G$24*'Financial Statement'!J31)</f>
        <v>489372.24362804065</v>
      </c>
      <c r="K43" s="74">
        <f>(J43+K31)-(Assumption!$G$24*'Financial Statement'!K31)</f>
        <v>569809.01052478247</v>
      </c>
      <c r="L43" s="74">
        <f>(K43+L31)-(Assumption!$G$24*'Financial Statement'!L31)</f>
        <v>663801.63292779168</v>
      </c>
    </row>
    <row r="44" spans="1:12" x14ac:dyDescent="0.3">
      <c r="B44" s="11" t="s">
        <v>114</v>
      </c>
      <c r="C44" s="74"/>
      <c r="D44" s="18">
        <f>(D43/C43)-1</f>
        <v>0.15658369824076201</v>
      </c>
      <c r="E44" s="18">
        <f t="shared" ref="E44:F44" si="21">(E43/D43)-1</f>
        <v>0.17954976946026591</v>
      </c>
      <c r="F44" s="18">
        <f t="shared" si="21"/>
        <v>0.19539091792154895</v>
      </c>
      <c r="G44" s="18">
        <f>(G43/F43)-1</f>
        <v>0.22667122034710041</v>
      </c>
      <c r="H44" s="18">
        <f t="shared" ref="H44:L44" si="22">(H43/G43)-1</f>
        <v>0.15727996262172739</v>
      </c>
      <c r="I44" s="18">
        <f t="shared" si="22"/>
        <v>0.16289743110233523</v>
      </c>
      <c r="J44" s="18">
        <f t="shared" si="22"/>
        <v>0.16368616921164403</v>
      </c>
      <c r="K44" s="18">
        <f t="shared" si="22"/>
        <v>0.16436724383959911</v>
      </c>
      <c r="L44" s="18">
        <f t="shared" si="22"/>
        <v>0.1649546087669691</v>
      </c>
    </row>
    <row r="45" spans="1:12" x14ac:dyDescent="0.3"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2" x14ac:dyDescent="0.3">
      <c r="B46" s="31" t="s">
        <v>84</v>
      </c>
      <c r="C46" s="74">
        <v>959940</v>
      </c>
      <c r="D46" s="74">
        <v>1091366</v>
      </c>
      <c r="E46" s="74">
        <v>1210832</v>
      </c>
      <c r="F46" s="74">
        <v>1443580</v>
      </c>
      <c r="G46" s="74">
        <v>1641637</v>
      </c>
      <c r="H46" s="74">
        <v>1830020</v>
      </c>
      <c r="I46" s="74">
        <f>H46*(1+I47)</f>
        <v>2082763.5029378443</v>
      </c>
      <c r="J46" s="74">
        <f t="shared" ref="J46:L46" si="23">I46*(1+J47)</f>
        <v>2370413.3338269088</v>
      </c>
      <c r="K46" s="74">
        <f t="shared" si="23"/>
        <v>2697790.3949530097</v>
      </c>
      <c r="L46" s="74">
        <f t="shared" si="23"/>
        <v>3070381.4019433674</v>
      </c>
    </row>
    <row r="47" spans="1:12" s="6" customFormat="1" ht="18.600000000000001" customHeight="1" x14ac:dyDescent="0.3">
      <c r="A47" s="22"/>
      <c r="B47" s="10" t="s">
        <v>113</v>
      </c>
      <c r="C47" s="74"/>
      <c r="D47" s="18">
        <f>(D46/C46)-1</f>
        <v>0.13691064024834887</v>
      </c>
      <c r="E47" s="18">
        <f t="shared" ref="E47:H47" si="24">(E46/D46)-1</f>
        <v>0.10946465255468829</v>
      </c>
      <c r="F47" s="18">
        <f t="shared" si="24"/>
        <v>0.19222154683721615</v>
      </c>
      <c r="G47" s="18">
        <f>(G46/F46)-1</f>
        <v>0.1371984926363623</v>
      </c>
      <c r="H47" s="18">
        <f t="shared" si="24"/>
        <v>0.11475313970140788</v>
      </c>
      <c r="I47" s="18">
        <f>Assumption!$G$28</f>
        <v>0.13810969439560469</v>
      </c>
      <c r="J47" s="18">
        <f>Assumption!$G$28</f>
        <v>0.13810969439560469</v>
      </c>
      <c r="K47" s="18">
        <f>Assumption!$G$28</f>
        <v>0.13810969439560469</v>
      </c>
      <c r="L47" s="18">
        <f>Assumption!$G$28</f>
        <v>0.13810969439560469</v>
      </c>
    </row>
    <row r="48" spans="1:12" x14ac:dyDescent="0.3">
      <c r="C48" s="74"/>
      <c r="D48" s="74"/>
      <c r="E48" s="74"/>
      <c r="F48" s="74"/>
      <c r="G48" s="74"/>
      <c r="H48" s="74"/>
      <c r="I48" s="74"/>
      <c r="J48" s="74"/>
      <c r="K48" s="74"/>
      <c r="L48" s="74"/>
    </row>
    <row r="49" spans="2:12" x14ac:dyDescent="0.3">
      <c r="B49" s="31" t="s">
        <v>22</v>
      </c>
      <c r="C49" s="74">
        <v>143900</v>
      </c>
      <c r="D49" s="74">
        <v>161603</v>
      </c>
      <c r="E49" s="74">
        <v>189062</v>
      </c>
      <c r="F49" s="74">
        <v>207428</v>
      </c>
      <c r="G49" s="74">
        <v>218883</v>
      </c>
      <c r="H49" s="74">
        <v>220264</v>
      </c>
      <c r="I49" s="74">
        <f>H49*(1+I50)</f>
        <v>240158.92100043781</v>
      </c>
      <c r="J49" s="74">
        <f t="shared" ref="J49:L49" si="25">I49*(1+J50)</f>
        <v>261850.81237103898</v>
      </c>
      <c r="K49" s="74">
        <f t="shared" si="25"/>
        <v>285501.98199486441</v>
      </c>
      <c r="L49" s="74">
        <f t="shared" si="25"/>
        <v>311289.39790148666</v>
      </c>
    </row>
    <row r="50" spans="2:12" x14ac:dyDescent="0.3">
      <c r="B50" s="11" t="s">
        <v>98</v>
      </c>
      <c r="C50" s="74"/>
      <c r="D50" s="18">
        <f>(D49/C49)-1</f>
        <v>0.12302293259207775</v>
      </c>
      <c r="E50" s="18">
        <f t="shared" ref="E50:H50" si="26">(E49/D49)-1</f>
        <v>0.16991640006683051</v>
      </c>
      <c r="F50" s="18">
        <f t="shared" si="26"/>
        <v>9.7142736245252825E-2</v>
      </c>
      <c r="G50" s="18">
        <f>(G49/F49)-1</f>
        <v>5.5223981333281991E-2</v>
      </c>
      <c r="H50" s="18">
        <f t="shared" si="26"/>
        <v>6.3093067986093043E-3</v>
      </c>
      <c r="I50" s="18">
        <f>Assumption!$G$29</f>
        <v>9.0323071407210478E-2</v>
      </c>
      <c r="J50" s="18">
        <f>Assumption!$G$29</f>
        <v>9.0323071407210478E-2</v>
      </c>
      <c r="K50" s="18">
        <f>Assumption!$G$29</f>
        <v>9.0323071407210478E-2</v>
      </c>
      <c r="L50" s="18">
        <f>Assumption!$G$29</f>
        <v>9.0323071407210478E-2</v>
      </c>
    </row>
    <row r="51" spans="2:12" x14ac:dyDescent="0.3"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spans="2:12" x14ac:dyDescent="0.3">
      <c r="B52" s="31" t="s">
        <v>23</v>
      </c>
      <c r="C52" s="74">
        <v>312385</v>
      </c>
      <c r="D52" s="74">
        <v>317616</v>
      </c>
      <c r="E52" s="74">
        <v>344099</v>
      </c>
      <c r="F52" s="74">
        <v>456911</v>
      </c>
      <c r="G52" s="74">
        <v>467815</v>
      </c>
      <c r="H52" s="74">
        <v>501153</v>
      </c>
      <c r="I52" s="74">
        <f>(H52)*(1+I53)</f>
        <v>553583.75197980052</v>
      </c>
      <c r="J52" s="74">
        <f t="shared" ref="J52:L52" si="27">(I52)*(1+J53)</f>
        <v>611499.8223217926</v>
      </c>
      <c r="K52" s="74">
        <f t="shared" si="27"/>
        <v>675475.08640251448</v>
      </c>
      <c r="L52" s="74">
        <f t="shared" si="27"/>
        <v>746143.45858367393</v>
      </c>
    </row>
    <row r="53" spans="2:12" x14ac:dyDescent="0.3">
      <c r="B53" s="11" t="s">
        <v>100</v>
      </c>
      <c r="C53" s="74"/>
      <c r="D53" s="18">
        <f>(D52/C52)-1</f>
        <v>1.6745362293324018E-2</v>
      </c>
      <c r="E53" s="18">
        <f t="shared" ref="E53:H53" si="28">(E52/D52)-1</f>
        <v>8.3380560173291096E-2</v>
      </c>
      <c r="F53" s="18">
        <f t="shared" si="28"/>
        <v>0.32784750900176984</v>
      </c>
      <c r="G53" s="18">
        <f>(G52/F52)-1</f>
        <v>2.3864603828754438E-2</v>
      </c>
      <c r="H53" s="18">
        <f t="shared" si="28"/>
        <v>7.12632130222417E-2</v>
      </c>
      <c r="I53" s="18">
        <f>Assumption!$G$30</f>
        <v>0.10462024966387622</v>
      </c>
      <c r="J53" s="18">
        <f>Assumption!$G$30</f>
        <v>0.10462024966387622</v>
      </c>
      <c r="K53" s="18">
        <f>Assumption!$G$30</f>
        <v>0.10462024966387622</v>
      </c>
      <c r="L53" s="18">
        <f>Assumption!$G$30</f>
        <v>0.10462024966387622</v>
      </c>
    </row>
    <row r="54" spans="2:12" x14ac:dyDescent="0.3"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5" spans="2:12" ht="16.2" thickBot="1" x14ac:dyDescent="0.35">
      <c r="B55" s="55" t="s">
        <v>101</v>
      </c>
      <c r="C55" s="74">
        <f>(C40+C43+C46+C49+C52)</f>
        <v>1573812</v>
      </c>
      <c r="D55" s="74">
        <f t="shared" ref="D55:L55" si="29">(D40+D43+D46+D49+D52)</f>
        <v>1752638</v>
      </c>
      <c r="E55" s="74">
        <f t="shared" si="29"/>
        <v>1958491</v>
      </c>
      <c r="F55" s="74">
        <f t="shared" si="29"/>
        <v>2364063</v>
      </c>
      <c r="G55" s="74">
        <f t="shared" si="29"/>
        <v>2642241</v>
      </c>
      <c r="H55" s="74">
        <f t="shared" si="29"/>
        <v>2914497</v>
      </c>
      <c r="I55" s="74">
        <f t="shared" si="29"/>
        <v>3298484.4638686487</v>
      </c>
      <c r="J55" s="74">
        <f t="shared" si="29"/>
        <v>3734588.3136719125</v>
      </c>
      <c r="K55" s="74">
        <f t="shared" si="29"/>
        <v>4230038.7317298558</v>
      </c>
      <c r="L55" s="74">
        <f t="shared" si="29"/>
        <v>4793088.37657726</v>
      </c>
    </row>
    <row r="56" spans="2:12" ht="16.2" thickTop="1" x14ac:dyDescent="0.3"/>
    <row r="57" spans="2:12" x14ac:dyDescent="0.3">
      <c r="B57" s="47" t="s">
        <v>87</v>
      </c>
    </row>
    <row r="58" spans="2:12" x14ac:dyDescent="0.3">
      <c r="B58" s="53" t="s">
        <v>88</v>
      </c>
      <c r="C58" s="74">
        <v>10809</v>
      </c>
      <c r="D58" s="74">
        <v>10707</v>
      </c>
      <c r="E58" s="74">
        <v>11070</v>
      </c>
      <c r="F58" s="74">
        <v>15714</v>
      </c>
      <c r="G58" s="74">
        <v>24272</v>
      </c>
      <c r="H58" s="74">
        <v>27970</v>
      </c>
      <c r="I58" s="74">
        <f>(H58*(1+I59))-(I22)</f>
        <v>28321.053996077691</v>
      </c>
      <c r="J58" s="74">
        <f>(I58*(1+J59))-(J22)</f>
        <v>29644.30165973393</v>
      </c>
      <c r="K58" s="74">
        <f>(J58*(1+K59))-(K22)</f>
        <v>30548.441545236998</v>
      </c>
      <c r="L58" s="74">
        <f>(K58*(1+L59))-(L22)</f>
        <v>30843.320357678451</v>
      </c>
    </row>
    <row r="59" spans="2:12" x14ac:dyDescent="0.3">
      <c r="B59" s="51" t="s">
        <v>106</v>
      </c>
      <c r="C59" s="74" t="s">
        <v>107</v>
      </c>
      <c r="D59" s="18">
        <f>ABS('Data Sheet'!B38/'Financial Statement'!C58)</f>
        <v>0.15616615783143675</v>
      </c>
      <c r="E59" s="18">
        <f>ABS('Data Sheet'!C38/'Financial Statement'!D58)</f>
        <v>0.17371812832726255</v>
      </c>
      <c r="F59" s="18">
        <f>ABS('Data Sheet'!D38/'Financial Statement'!E58)</f>
        <v>0.22294489611562782</v>
      </c>
      <c r="G59" s="18">
        <f>ABS('Data Sheet'!E38/'Financial Statement'!F58)</f>
        <v>0.23412243858979254</v>
      </c>
      <c r="H59" s="18">
        <f>ABS('Data Sheet'!F38/'Financial Statement'!G58)</f>
        <v>0.19652274225444957</v>
      </c>
      <c r="I59" s="18">
        <f>ABS('Data Sheet'!G38/'Financial Statement'!H58)</f>
        <v>0.13335716839470863</v>
      </c>
      <c r="J59" s="18">
        <f>Assumption!$G$35</f>
        <v>0.1861385885855463</v>
      </c>
      <c r="K59" s="18">
        <f>Assumption!$G$35</f>
        <v>0.1861385885855463</v>
      </c>
      <c r="L59" s="18">
        <f>Assumption!$G$35</f>
        <v>0.1861385885855463</v>
      </c>
    </row>
    <row r="60" spans="2:12" x14ac:dyDescent="0.3">
      <c r="B60" s="51" t="s">
        <v>109</v>
      </c>
      <c r="C60" s="74">
        <f t="shared" ref="C60:L60" si="30">C22</f>
        <v>1340.07</v>
      </c>
      <c r="D60" s="74">
        <f t="shared" si="30"/>
        <v>1330.01</v>
      </c>
      <c r="E60" s="74">
        <f t="shared" si="30"/>
        <v>1514.56</v>
      </c>
      <c r="F60" s="74">
        <f t="shared" si="30"/>
        <v>1935.21</v>
      </c>
      <c r="G60" s="74">
        <f t="shared" si="30"/>
        <v>2627.32</v>
      </c>
      <c r="H60" s="74">
        <f t="shared" si="30"/>
        <v>2891.6258013190063</v>
      </c>
      <c r="I60" s="74">
        <f t="shared" si="30"/>
        <v>3378.94600392231</v>
      </c>
      <c r="J60" s="74">
        <f t="shared" si="30"/>
        <v>3948.393354428707</v>
      </c>
      <c r="K60" s="74">
        <f t="shared" si="30"/>
        <v>4613.8085850439711</v>
      </c>
      <c r="L60" s="74">
        <f t="shared" si="30"/>
        <v>5391.3649802770224</v>
      </c>
    </row>
    <row r="61" spans="2:12" x14ac:dyDescent="0.3">
      <c r="B61" s="51"/>
      <c r="C61" s="74"/>
      <c r="D61" s="74"/>
      <c r="E61" s="74"/>
      <c r="F61" s="74"/>
      <c r="G61" s="74"/>
      <c r="H61" s="74"/>
      <c r="I61" s="74"/>
      <c r="J61" s="74"/>
      <c r="K61" s="74"/>
      <c r="L61" s="74"/>
    </row>
    <row r="62" spans="2:12" x14ac:dyDescent="0.3">
      <c r="B62" s="52" t="s">
        <v>124</v>
      </c>
      <c r="C62" s="74">
        <f>C58</f>
        <v>10809</v>
      </c>
      <c r="D62" s="74">
        <f t="shared" ref="D62:L62" si="31">D58</f>
        <v>10707</v>
      </c>
      <c r="E62" s="74">
        <f t="shared" si="31"/>
        <v>11070</v>
      </c>
      <c r="F62" s="74">
        <f t="shared" si="31"/>
        <v>15714</v>
      </c>
      <c r="G62" s="74">
        <f t="shared" si="31"/>
        <v>24272</v>
      </c>
      <c r="H62" s="74">
        <f t="shared" si="31"/>
        <v>27970</v>
      </c>
      <c r="I62" s="74">
        <f t="shared" si="31"/>
        <v>28321.053996077691</v>
      </c>
      <c r="J62" s="74">
        <f t="shared" si="31"/>
        <v>29644.30165973393</v>
      </c>
      <c r="K62" s="74">
        <f t="shared" si="31"/>
        <v>30548.441545236998</v>
      </c>
      <c r="L62" s="74">
        <f t="shared" si="31"/>
        <v>30843.320357678451</v>
      </c>
    </row>
    <row r="63" spans="2:12" x14ac:dyDescent="0.3">
      <c r="B63" s="31" t="s">
        <v>10</v>
      </c>
      <c r="C63" s="74">
        <v>536579</v>
      </c>
      <c r="D63" s="74">
        <v>567098</v>
      </c>
      <c r="E63" s="74">
        <v>639552</v>
      </c>
      <c r="F63" s="74">
        <v>827163</v>
      </c>
      <c r="G63" s="74">
        <v>886377</v>
      </c>
      <c r="H63" s="74">
        <v>870720</v>
      </c>
      <c r="I63" s="74">
        <f>(H63)*(1+I64)</f>
        <v>963348.95072665799</v>
      </c>
      <c r="J63" s="74">
        <f t="shared" ref="J63:L63" si="32">(I63)*(1+J64)</f>
        <v>1065831.9561582976</v>
      </c>
      <c r="K63" s="74">
        <f t="shared" si="32"/>
        <v>1179217.3105200722</v>
      </c>
      <c r="L63" s="74">
        <f t="shared" si="32"/>
        <v>1304664.8276922812</v>
      </c>
    </row>
    <row r="64" spans="2:12" x14ac:dyDescent="0.3">
      <c r="B64" s="11" t="s">
        <v>112</v>
      </c>
      <c r="C64" s="74" t="s">
        <v>107</v>
      </c>
      <c r="D64" s="18">
        <f>(D63/C63)-1</f>
        <v>5.6876992949780103E-2</v>
      </c>
      <c r="E64" s="18">
        <f t="shared" ref="E64:H64" si="33">(E63/D63)-1</f>
        <v>0.12776275000088178</v>
      </c>
      <c r="F64" s="18">
        <f t="shared" si="33"/>
        <v>0.29334753077154008</v>
      </c>
      <c r="G64" s="18">
        <f>(G63/F63)-1</f>
        <v>7.1586857729371456E-2</v>
      </c>
      <c r="H64" s="18">
        <f t="shared" si="33"/>
        <v>-1.7664041372914663E-2</v>
      </c>
      <c r="I64" s="18">
        <f>Assumption!$G$38</f>
        <v>0.10638201801573174</v>
      </c>
      <c r="J64" s="18">
        <f>Assumption!$G$38</f>
        <v>0.10638201801573174</v>
      </c>
      <c r="K64" s="18">
        <f>Assumption!$G$38</f>
        <v>0.10638201801573174</v>
      </c>
      <c r="L64" s="18">
        <f>Assumption!$G$38</f>
        <v>0.10638201801573174</v>
      </c>
    </row>
    <row r="65" spans="2:12" x14ac:dyDescent="0.3">
      <c r="B65" s="10" t="s">
        <v>24</v>
      </c>
      <c r="C65" s="74">
        <v>1026424</v>
      </c>
      <c r="D65" s="74">
        <v>1174833</v>
      </c>
      <c r="E65" s="74">
        <v>1307868</v>
      </c>
      <c r="F65" s="74">
        <v>1521186</v>
      </c>
      <c r="G65" s="74">
        <v>1731593</v>
      </c>
      <c r="H65" s="74">
        <v>2015808</v>
      </c>
      <c r="I65" s="74">
        <f>I55-I62-I63</f>
        <v>2306814.4591459129</v>
      </c>
      <c r="J65" s="74">
        <f t="shared" ref="J65:L65" si="34">J55-J62-J63</f>
        <v>2639112.0558538809</v>
      </c>
      <c r="K65" s="74">
        <f t="shared" si="34"/>
        <v>3020272.9796645464</v>
      </c>
      <c r="L65" s="74">
        <f t="shared" si="34"/>
        <v>3457580.2285273001</v>
      </c>
    </row>
    <row r="66" spans="2:12" x14ac:dyDescent="0.3">
      <c r="B66" s="11" t="s">
        <v>125</v>
      </c>
      <c r="C66" s="74" t="s">
        <v>107</v>
      </c>
      <c r="D66" s="18">
        <f>(D65/C65)-1</f>
        <v>0.14458839621832698</v>
      </c>
      <c r="E66" s="18">
        <f t="shared" ref="E66:L66" si="35">(E65/D65)-1</f>
        <v>0.11323737075822682</v>
      </c>
      <c r="F66" s="18">
        <f t="shared" si="35"/>
        <v>0.16310361596124379</v>
      </c>
      <c r="G66" s="18">
        <f>(G65/F65)-1</f>
        <v>0.13831773366307609</v>
      </c>
      <c r="H66" s="18">
        <f t="shared" si="35"/>
        <v>0.16413499015068789</v>
      </c>
      <c r="I66" s="18">
        <f t="shared" si="35"/>
        <v>0.14436219081674095</v>
      </c>
      <c r="J66" s="18">
        <f t="shared" si="35"/>
        <v>0.14405042217006025</v>
      </c>
      <c r="K66" s="18">
        <f t="shared" si="35"/>
        <v>0.14442771498284923</v>
      </c>
      <c r="L66" s="18">
        <f t="shared" si="35"/>
        <v>0.14479063707391249</v>
      </c>
    </row>
    <row r="67" spans="2:12" x14ac:dyDescent="0.3">
      <c r="C67" s="74"/>
      <c r="D67" s="74"/>
      <c r="E67" s="74"/>
      <c r="F67" s="74"/>
      <c r="G67" s="74"/>
      <c r="H67" s="74"/>
      <c r="I67" s="74"/>
      <c r="J67" s="74"/>
      <c r="K67" s="74"/>
      <c r="L67" s="74"/>
    </row>
    <row r="68" spans="2:12" ht="16.2" thickBot="1" x14ac:dyDescent="0.35">
      <c r="B68" s="54" t="s">
        <v>89</v>
      </c>
      <c r="C68" s="79">
        <f>(C62+C63+C65)</f>
        <v>1573812</v>
      </c>
      <c r="D68" s="79">
        <f t="shared" ref="D68:L68" si="36">(D62+D63+D65)</f>
        <v>1752638</v>
      </c>
      <c r="E68" s="79">
        <f t="shared" si="36"/>
        <v>1958490</v>
      </c>
      <c r="F68" s="79">
        <f t="shared" si="36"/>
        <v>2364063</v>
      </c>
      <c r="G68" s="79">
        <f t="shared" si="36"/>
        <v>2642242</v>
      </c>
      <c r="H68" s="79">
        <f t="shared" si="36"/>
        <v>2914498</v>
      </c>
      <c r="I68" s="79">
        <f t="shared" si="36"/>
        <v>3298484.4638686487</v>
      </c>
      <c r="J68" s="79">
        <f t="shared" si="36"/>
        <v>3734588.3136719125</v>
      </c>
      <c r="K68" s="79">
        <f t="shared" si="36"/>
        <v>4230038.7317298558</v>
      </c>
      <c r="L68" s="79">
        <f t="shared" si="36"/>
        <v>4793088.37657726</v>
      </c>
    </row>
    <row r="69" spans="2:12" ht="16.2" thickTop="1" x14ac:dyDescent="0.3"/>
  </sheetData>
  <mergeCells count="6">
    <mergeCell ref="C6:G6"/>
    <mergeCell ref="H6:L6"/>
    <mergeCell ref="B33:L35"/>
    <mergeCell ref="B3:L5"/>
    <mergeCell ref="C36:H36"/>
    <mergeCell ref="I36:L36"/>
  </mergeCells>
  <pageMargins left="0.7" right="0.7" top="0.75" bottom="0.75" header="0.3" footer="0.3"/>
  <pageSetup orientation="landscape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002B-2ABA-490B-BAF7-BFCAA3DC9776}">
  <dimension ref="E3:O39"/>
  <sheetViews>
    <sheetView topLeftCell="A18" zoomScale="72" zoomScaleNormal="85" workbookViewId="0">
      <selection activeCell="E25" sqref="E25:E27"/>
    </sheetView>
  </sheetViews>
  <sheetFormatPr defaultRowHeight="14.4" x14ac:dyDescent="0.3"/>
  <cols>
    <col min="5" max="5" width="8.88671875" style="5"/>
    <col min="6" max="6" width="24.88671875" customWidth="1"/>
    <col min="7" max="7" width="14.21875" style="5" customWidth="1"/>
    <col min="8" max="8" width="12" customWidth="1"/>
  </cols>
  <sheetData>
    <row r="3" spans="5:15" ht="15" thickBot="1" x14ac:dyDescent="0.35">
      <c r="E3" s="99" t="s">
        <v>90</v>
      </c>
      <c r="F3" s="99"/>
      <c r="G3" s="100" t="s">
        <v>126</v>
      </c>
      <c r="H3" s="100"/>
    </row>
    <row r="4" spans="5:15" ht="15" customHeight="1" thickBot="1" x14ac:dyDescent="0.35">
      <c r="E4" s="5">
        <v>1</v>
      </c>
      <c r="F4" t="s">
        <v>60</v>
      </c>
      <c r="G4" s="26">
        <v>0.16852810013695899</v>
      </c>
      <c r="H4" s="27" t="str">
        <f>_xlfn.XLOOKUP(G4,G5:G7,F5:F7,,0)</f>
        <v>BASE CASE</v>
      </c>
      <c r="I4" s="98" t="s">
        <v>61</v>
      </c>
      <c r="J4" s="98"/>
      <c r="K4" s="98"/>
      <c r="L4" s="98"/>
      <c r="M4" s="39"/>
      <c r="N4" s="39"/>
      <c r="O4" s="39"/>
    </row>
    <row r="5" spans="5:15" x14ac:dyDescent="0.3">
      <c r="F5" t="s">
        <v>77</v>
      </c>
      <c r="G5" s="24">
        <v>0.1885</v>
      </c>
      <c r="I5" s="98"/>
      <c r="J5" s="98"/>
      <c r="K5" s="98"/>
      <c r="L5" s="98"/>
    </row>
    <row r="6" spans="5:15" x14ac:dyDescent="0.3">
      <c r="F6" t="s">
        <v>78</v>
      </c>
      <c r="G6" s="25">
        <f>AVERAGE('Financial Statement'!D11:G11)</f>
        <v>0.16852810013695899</v>
      </c>
      <c r="I6" s="98"/>
      <c r="J6" s="98"/>
      <c r="K6" s="98"/>
      <c r="L6" s="98"/>
    </row>
    <row r="7" spans="5:15" x14ac:dyDescent="0.3">
      <c r="F7" t="s">
        <v>79</v>
      </c>
      <c r="G7" s="25">
        <v>0.14849999999999999</v>
      </c>
      <c r="I7" s="98"/>
      <c r="J7" s="98"/>
      <c r="K7" s="98"/>
      <c r="L7" s="98"/>
    </row>
    <row r="9" spans="5:15" x14ac:dyDescent="0.3">
      <c r="E9" s="5">
        <v>2</v>
      </c>
      <c r="F9" t="s">
        <v>35</v>
      </c>
      <c r="G9" s="25">
        <f>AVERAGE('Financial Statement'!C14:G14)</f>
        <v>0.48282708574354549</v>
      </c>
      <c r="H9" t="s">
        <v>62</v>
      </c>
    </row>
    <row r="11" spans="5:15" ht="14.4" customHeight="1" x14ac:dyDescent="0.3">
      <c r="E11" s="5">
        <v>3</v>
      </c>
      <c r="F11" t="s">
        <v>5</v>
      </c>
      <c r="G11" s="25">
        <f>AVERAGE('Financial Statement'!C20:G20)</f>
        <v>0.28267661207328143</v>
      </c>
      <c r="H11" s="97" t="s">
        <v>80</v>
      </c>
      <c r="I11" s="97"/>
      <c r="J11" s="97"/>
      <c r="K11" s="97"/>
      <c r="L11" s="97"/>
    </row>
    <row r="12" spans="5:15" x14ac:dyDescent="0.3">
      <c r="H12" s="97"/>
      <c r="I12" s="97"/>
      <c r="J12" s="97"/>
      <c r="K12" s="97"/>
      <c r="L12" s="97"/>
    </row>
    <row r="13" spans="5:15" x14ac:dyDescent="0.3">
      <c r="E13" s="5">
        <v>4</v>
      </c>
      <c r="F13" t="s">
        <v>63</v>
      </c>
      <c r="G13" s="25">
        <f>AVERAGE('Financial Statement'!C29:G29)</f>
        <v>0.2455789635066381</v>
      </c>
      <c r="H13" s="97"/>
      <c r="I13" s="97"/>
      <c r="J13" s="97"/>
      <c r="K13" s="97"/>
      <c r="L13" s="97"/>
    </row>
    <row r="14" spans="5:15" x14ac:dyDescent="0.3">
      <c r="H14" s="97"/>
      <c r="I14" s="97"/>
      <c r="J14" s="97"/>
      <c r="K14" s="97"/>
      <c r="L14" s="97"/>
    </row>
    <row r="15" spans="5:15" x14ac:dyDescent="0.3">
      <c r="E15" s="5">
        <v>5</v>
      </c>
      <c r="F15" t="s">
        <v>110</v>
      </c>
      <c r="G15" s="25">
        <f>AVERAGE('Financial Statement'!C23:G23)</f>
        <v>8.4001967096076213E-3</v>
      </c>
      <c r="H15" s="97"/>
      <c r="I15" s="97"/>
      <c r="J15" s="97"/>
      <c r="K15" s="97"/>
      <c r="L15" s="97"/>
    </row>
    <row r="17" spans="5:12" x14ac:dyDescent="0.3">
      <c r="E17" s="95" t="s">
        <v>91</v>
      </c>
      <c r="F17" s="95"/>
      <c r="G17" s="95"/>
    </row>
    <row r="18" spans="5:12" x14ac:dyDescent="0.3">
      <c r="E18" s="88" t="s">
        <v>102</v>
      </c>
      <c r="F18" s="88"/>
      <c r="G18" s="40"/>
    </row>
    <row r="19" spans="5:12" x14ac:dyDescent="0.3">
      <c r="E19" s="5">
        <v>1</v>
      </c>
      <c r="F19" s="41" t="s">
        <v>82</v>
      </c>
      <c r="G19" s="24">
        <f>AVERAGE('Financial Statement'!D41:H41)</f>
        <v>6.9942289740378086E-3</v>
      </c>
      <c r="H19" s="94" t="s">
        <v>92</v>
      </c>
      <c r="I19" s="94"/>
      <c r="J19" s="94"/>
      <c r="K19" s="94"/>
      <c r="L19" s="94"/>
    </row>
    <row r="20" spans="5:12" x14ac:dyDescent="0.3">
      <c r="E20" s="5">
        <v>2</v>
      </c>
      <c r="F20" s="41" t="s">
        <v>22</v>
      </c>
      <c r="H20" s="94"/>
      <c r="I20" s="94"/>
      <c r="J20" s="94"/>
      <c r="K20" s="94"/>
      <c r="L20" s="94"/>
    </row>
    <row r="21" spans="5:12" x14ac:dyDescent="0.3">
      <c r="E21" s="5">
        <v>3</v>
      </c>
      <c r="F21" s="41" t="s">
        <v>23</v>
      </c>
      <c r="H21" s="94"/>
      <c r="I21" s="94"/>
      <c r="J21" s="94"/>
      <c r="K21" s="94"/>
      <c r="L21" s="94"/>
    </row>
    <row r="22" spans="5:12" x14ac:dyDescent="0.3">
      <c r="E22" s="5">
        <v>4</v>
      </c>
      <c r="F22" s="41" t="s">
        <v>10</v>
      </c>
      <c r="H22" s="94"/>
      <c r="I22" s="94"/>
      <c r="J22" s="94"/>
      <c r="K22" s="94"/>
      <c r="L22" s="94"/>
    </row>
    <row r="23" spans="5:12" x14ac:dyDescent="0.3">
      <c r="E23" s="5">
        <v>5</v>
      </c>
      <c r="F23" s="41" t="s">
        <v>24</v>
      </c>
      <c r="H23" s="94"/>
      <c r="I23" s="94"/>
      <c r="J23" s="94"/>
      <c r="K23" s="94"/>
      <c r="L23" s="94"/>
    </row>
    <row r="24" spans="5:12" x14ac:dyDescent="0.3">
      <c r="E24" s="5">
        <v>6</v>
      </c>
      <c r="F24" s="41" t="s">
        <v>94</v>
      </c>
      <c r="G24" s="25">
        <f>AVERAGE('Data Sheet'!B25:G25)</f>
        <v>0.14142622692283147</v>
      </c>
      <c r="H24" s="94"/>
      <c r="I24" s="94"/>
      <c r="J24" s="94"/>
      <c r="K24" s="94"/>
      <c r="L24" s="94"/>
    </row>
    <row r="25" spans="5:12" ht="14.4" customHeight="1" x14ac:dyDescent="0.3">
      <c r="E25" s="94">
        <v>7</v>
      </c>
      <c r="F25" s="94" t="s">
        <v>9</v>
      </c>
      <c r="G25" s="96" t="s">
        <v>96</v>
      </c>
      <c r="H25" s="96"/>
      <c r="I25" s="96"/>
      <c r="J25" s="96"/>
      <c r="K25" s="96"/>
      <c r="L25" s="96"/>
    </row>
    <row r="26" spans="5:12" x14ac:dyDescent="0.3">
      <c r="E26" s="94"/>
      <c r="F26" s="94"/>
      <c r="G26" s="96"/>
      <c r="H26" s="96"/>
      <c r="I26" s="96"/>
      <c r="J26" s="96"/>
      <c r="K26" s="96"/>
      <c r="L26" s="96"/>
    </row>
    <row r="27" spans="5:12" x14ac:dyDescent="0.3">
      <c r="E27" s="94"/>
      <c r="F27" s="94"/>
      <c r="G27" s="96"/>
      <c r="H27" s="96"/>
      <c r="I27" s="96"/>
      <c r="J27" s="96"/>
      <c r="K27" s="96"/>
      <c r="L27" s="96"/>
    </row>
    <row r="28" spans="5:12" x14ac:dyDescent="0.3">
      <c r="E28" s="5">
        <v>8</v>
      </c>
      <c r="F28" s="41" t="s">
        <v>97</v>
      </c>
      <c r="G28" s="25">
        <f>AVERAGE('Financial Statement'!D47:H47)</f>
        <v>0.13810969439560469</v>
      </c>
    </row>
    <row r="29" spans="5:12" x14ac:dyDescent="0.3">
      <c r="E29" s="5">
        <v>9</v>
      </c>
      <c r="F29" s="41" t="s">
        <v>99</v>
      </c>
      <c r="G29" s="25">
        <f>AVERAGE('Financial Statement'!D50:H50)</f>
        <v>9.0323071407210478E-2</v>
      </c>
    </row>
    <row r="30" spans="5:12" ht="14.4" customHeight="1" x14ac:dyDescent="0.3">
      <c r="E30" s="94">
        <v>10</v>
      </c>
      <c r="F30" s="92" t="s">
        <v>100</v>
      </c>
      <c r="G30" s="93">
        <f>AVERAGE('Financial Statement'!D53:H53)</f>
        <v>0.10462024966387622</v>
      </c>
    </row>
    <row r="31" spans="5:12" x14ac:dyDescent="0.3">
      <c r="E31" s="94"/>
      <c r="F31" s="92"/>
      <c r="G31" s="93"/>
    </row>
    <row r="32" spans="5:12" x14ac:dyDescent="0.3">
      <c r="E32" s="88" t="s">
        <v>87</v>
      </c>
      <c r="F32" s="88"/>
    </row>
    <row r="33" spans="5:12" x14ac:dyDescent="0.3">
      <c r="E33" s="5">
        <v>1</v>
      </c>
      <c r="F33" t="s">
        <v>88</v>
      </c>
      <c r="G33" s="89" t="s">
        <v>103</v>
      </c>
      <c r="H33" s="89"/>
      <c r="I33" s="89"/>
      <c r="J33" s="89"/>
      <c r="K33" s="89"/>
      <c r="L33" s="89"/>
    </row>
    <row r="34" spans="5:12" x14ac:dyDescent="0.3">
      <c r="F34" s="8" t="s">
        <v>104</v>
      </c>
      <c r="G34" s="90" t="s">
        <v>105</v>
      </c>
      <c r="H34" s="90"/>
      <c r="I34" s="90"/>
      <c r="J34" s="90"/>
      <c r="K34" s="90"/>
      <c r="L34" s="90"/>
    </row>
    <row r="35" spans="5:12" x14ac:dyDescent="0.3">
      <c r="F35" s="8" t="s">
        <v>108</v>
      </c>
      <c r="G35" s="50">
        <f>AVERAGE('Financial Statement'!D59:I59)</f>
        <v>0.1861385885855463</v>
      </c>
      <c r="H35" s="49"/>
      <c r="I35" s="49"/>
      <c r="J35" s="49"/>
      <c r="K35" s="49"/>
      <c r="L35" s="49"/>
    </row>
    <row r="36" spans="5:12" x14ac:dyDescent="0.3">
      <c r="F36" s="8" t="s">
        <v>111</v>
      </c>
      <c r="G36" s="25">
        <f>G15</f>
        <v>8.4001967096076213E-3</v>
      </c>
    </row>
    <row r="37" spans="5:12" x14ac:dyDescent="0.3">
      <c r="F37" s="9"/>
      <c r="G37" s="42"/>
    </row>
    <row r="38" spans="5:12" x14ac:dyDescent="0.3">
      <c r="E38" s="5">
        <v>2</v>
      </c>
      <c r="F38" s="9" t="s">
        <v>116</v>
      </c>
      <c r="G38" s="25">
        <f>AVERAGE('Financial Statement'!D64:H64)</f>
        <v>0.10638201801573174</v>
      </c>
      <c r="H38" s="91" t="s">
        <v>117</v>
      </c>
      <c r="I38" s="91"/>
      <c r="J38" s="91"/>
      <c r="K38" s="91"/>
      <c r="L38" s="91"/>
    </row>
    <row r="39" spans="5:12" ht="15.6" x14ac:dyDescent="0.3">
      <c r="E39" s="5">
        <v>3</v>
      </c>
      <c r="F39" s="11" t="s">
        <v>24</v>
      </c>
      <c r="G39" s="25" t="s">
        <v>118</v>
      </c>
      <c r="H39" s="38"/>
      <c r="I39" s="38"/>
      <c r="J39" s="38"/>
      <c r="K39" s="38"/>
      <c r="L39" s="38"/>
    </row>
  </sheetData>
  <mergeCells count="17">
    <mergeCell ref="H11:L15"/>
    <mergeCell ref="I4:L7"/>
    <mergeCell ref="E3:F3"/>
    <mergeCell ref="G3:H3"/>
    <mergeCell ref="E25:E27"/>
    <mergeCell ref="E18:F18"/>
    <mergeCell ref="E17:G17"/>
    <mergeCell ref="H19:L24"/>
    <mergeCell ref="G25:L27"/>
    <mergeCell ref="F25:F27"/>
    <mergeCell ref="E32:F32"/>
    <mergeCell ref="G33:L33"/>
    <mergeCell ref="G34:L34"/>
    <mergeCell ref="H38:L38"/>
    <mergeCell ref="F30:F31"/>
    <mergeCell ref="G30:G31"/>
    <mergeCell ref="E30:E31"/>
  </mergeCells>
  <conditionalFormatting sqref="H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4" xr:uid="{E6CED73E-4DBA-4FC6-B563-62B79AB8584C}">
      <formula1>$G$5:$G$7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DC62-B11A-4BC4-9D2E-DF998B5126A0}">
  <dimension ref="B6:L59"/>
  <sheetViews>
    <sheetView topLeftCell="A9" zoomScale="80" zoomScaleNormal="100" workbookViewId="0">
      <selection activeCell="J32" sqref="J32"/>
    </sheetView>
  </sheetViews>
  <sheetFormatPr defaultRowHeight="14.4" x14ac:dyDescent="0.3"/>
  <cols>
    <col min="1" max="1" width="1.21875" customWidth="1"/>
    <col min="2" max="2" width="26" customWidth="1"/>
    <col min="3" max="3" width="13.5546875" customWidth="1"/>
    <col min="4" max="4" width="13.88671875" bestFit="1" customWidth="1"/>
    <col min="5" max="5" width="16.21875" bestFit="1" customWidth="1"/>
    <col min="6" max="6" width="15.77734375" bestFit="1" customWidth="1"/>
    <col min="7" max="8" width="16.21875" bestFit="1" customWidth="1"/>
  </cols>
  <sheetData>
    <row r="6" spans="2:8" x14ac:dyDescent="0.3">
      <c r="B6" s="88" t="s">
        <v>119</v>
      </c>
      <c r="C6" s="88"/>
      <c r="D6" s="88"/>
      <c r="E6" s="88"/>
      <c r="F6" s="88"/>
      <c r="G6" s="88"/>
      <c r="H6" s="88"/>
    </row>
    <row r="7" spans="2:8" ht="15.6" x14ac:dyDescent="0.3">
      <c r="B7" s="73"/>
      <c r="C7" s="82" t="s">
        <v>30</v>
      </c>
      <c r="D7" s="82"/>
      <c r="E7" s="83" t="s">
        <v>31</v>
      </c>
      <c r="F7" s="83"/>
      <c r="G7" s="83"/>
      <c r="H7" s="83"/>
    </row>
    <row r="8" spans="2:8" ht="15.6" x14ac:dyDescent="0.3">
      <c r="B8" s="12" t="s">
        <v>17</v>
      </c>
      <c r="C8" s="13" t="s">
        <v>70</v>
      </c>
      <c r="D8" s="13" t="s">
        <v>71</v>
      </c>
      <c r="E8" s="14" t="s">
        <v>72</v>
      </c>
      <c r="F8" s="14" t="s">
        <v>73</v>
      </c>
      <c r="G8" s="14" t="s">
        <v>74</v>
      </c>
      <c r="H8" s="14" t="s">
        <v>75</v>
      </c>
    </row>
    <row r="9" spans="2:8" ht="15.6" x14ac:dyDescent="0.3">
      <c r="B9" s="11"/>
      <c r="C9" s="11"/>
      <c r="D9" s="11"/>
      <c r="E9" s="11"/>
      <c r="F9" s="11"/>
      <c r="G9" s="11"/>
      <c r="H9" s="11"/>
    </row>
    <row r="10" spans="2:8" ht="15.6" x14ac:dyDescent="0.3">
      <c r="B10" s="11" t="s">
        <v>32</v>
      </c>
      <c r="C10" s="11">
        <v>294586.93</v>
      </c>
      <c r="D10" s="16">
        <v>344233.10563807929</v>
      </c>
      <c r="E10" s="16">
        <v>402246.0569355099</v>
      </c>
      <c r="F10" s="16">
        <v>470035.82069843443</v>
      </c>
      <c r="G10" s="16">
        <v>549250.06455705792</v>
      </c>
      <c r="H10" s="16">
        <v>641814.13443696091</v>
      </c>
    </row>
    <row r="11" spans="2:8" ht="15.6" x14ac:dyDescent="0.3">
      <c r="B11" s="11"/>
      <c r="C11" s="11"/>
      <c r="D11" s="11"/>
      <c r="E11" s="11"/>
      <c r="F11" s="11"/>
      <c r="G11" s="11"/>
      <c r="H11" s="11"/>
    </row>
    <row r="12" spans="2:8" ht="15.6" x14ac:dyDescent="0.3">
      <c r="B12" s="11" t="s">
        <v>34</v>
      </c>
      <c r="C12" s="11">
        <v>130078.42000000001</v>
      </c>
      <c r="D12" s="16">
        <v>166205.06721168387</v>
      </c>
      <c r="E12" s="11">
        <v>194215.29142200452</v>
      </c>
      <c r="F12" s="11">
        <v>226946.02550290077</v>
      </c>
      <c r="G12" s="11">
        <v>265192.80801453849</v>
      </c>
      <c r="H12" s="11">
        <v>309885.24811921397</v>
      </c>
    </row>
    <row r="13" spans="2:8" ht="15.6" x14ac:dyDescent="0.3">
      <c r="B13" s="11"/>
      <c r="C13" s="11"/>
      <c r="D13" s="11"/>
      <c r="E13" s="11"/>
      <c r="F13" s="11"/>
      <c r="G13" s="11"/>
      <c r="H13" s="11"/>
    </row>
    <row r="14" spans="2:8" ht="15.6" x14ac:dyDescent="0.3">
      <c r="B14" s="19" t="s">
        <v>2</v>
      </c>
      <c r="C14" s="37">
        <v>164508.50999999998</v>
      </c>
      <c r="D14" s="37">
        <v>178028.03842639542</v>
      </c>
      <c r="E14" s="37">
        <v>208030.76551350538</v>
      </c>
      <c r="F14" s="37">
        <v>243089.79519553366</v>
      </c>
      <c r="G14" s="37">
        <v>284057.25654251943</v>
      </c>
      <c r="H14" s="37">
        <v>331928.88631774695</v>
      </c>
    </row>
    <row r="15" spans="2:8" ht="15.6" x14ac:dyDescent="0.3">
      <c r="B15" s="11"/>
      <c r="C15" s="18"/>
      <c r="D15" s="11"/>
      <c r="E15" s="11"/>
      <c r="F15" s="11"/>
      <c r="G15" s="11"/>
      <c r="H15" s="11"/>
    </row>
    <row r="16" spans="2:8" ht="15.6" x14ac:dyDescent="0.3">
      <c r="B16" s="11" t="s">
        <v>5</v>
      </c>
      <c r="C16" s="11">
        <v>89027.65</v>
      </c>
      <c r="D16" s="16">
        <v>97306.648065236252</v>
      </c>
      <c r="E16" s="16">
        <v>113705.55259436621</v>
      </c>
      <c r="F16" s="16">
        <v>132868.13334811782</v>
      </c>
      <c r="G16" s="16">
        <v>155260.14743002024</v>
      </c>
      <c r="H16" s="16">
        <v>181425.84510338568</v>
      </c>
    </row>
    <row r="17" spans="2:12" ht="15.6" x14ac:dyDescent="0.3">
      <c r="B17" s="11"/>
      <c r="C17" s="18"/>
      <c r="D17" s="11"/>
      <c r="E17" s="11"/>
      <c r="F17" s="11"/>
      <c r="G17" s="11"/>
      <c r="H17" s="11"/>
    </row>
    <row r="18" spans="2:12" ht="15.6" x14ac:dyDescent="0.3">
      <c r="B18" s="11" t="s">
        <v>4</v>
      </c>
      <c r="C18" s="11">
        <v>2627.32</v>
      </c>
      <c r="D18" s="16">
        <v>2891.6258013190063</v>
      </c>
      <c r="E18" s="16">
        <v>3378.94600392231</v>
      </c>
      <c r="F18" s="16">
        <v>3948.393354428707</v>
      </c>
      <c r="G18" s="16">
        <v>4613.8085850439711</v>
      </c>
      <c r="H18" s="16">
        <v>5391.3649802770224</v>
      </c>
    </row>
    <row r="19" spans="2:12" ht="15.6" x14ac:dyDescent="0.3">
      <c r="B19" s="11"/>
      <c r="C19" s="11"/>
      <c r="D19" s="16"/>
      <c r="E19" s="16"/>
      <c r="F19" s="16"/>
      <c r="G19" s="16"/>
      <c r="H19" s="16"/>
    </row>
    <row r="20" spans="2:12" ht="15.6" x14ac:dyDescent="0.3">
      <c r="B20" s="19" t="s">
        <v>38</v>
      </c>
      <c r="C20" s="19">
        <v>72853.539999999979</v>
      </c>
      <c r="D20" s="19">
        <v>77829.764559840158</v>
      </c>
      <c r="E20" s="19">
        <v>90946.266915216867</v>
      </c>
      <c r="F20" s="19">
        <v>106273.26849298715</v>
      </c>
      <c r="G20" s="19">
        <v>124183.30052745523</v>
      </c>
      <c r="H20" s="19">
        <v>145111.67623408424</v>
      </c>
    </row>
    <row r="21" spans="2:12" ht="15.6" x14ac:dyDescent="0.3">
      <c r="B21" s="11"/>
      <c r="C21" s="11"/>
      <c r="D21" s="11"/>
      <c r="E21" s="11"/>
      <c r="F21" s="11"/>
      <c r="G21" s="11"/>
      <c r="H21" s="11"/>
    </row>
    <row r="22" spans="2:12" ht="15.6" x14ac:dyDescent="0.3">
      <c r="B22" s="11" t="s">
        <v>7</v>
      </c>
      <c r="C22" s="11">
        <v>18434.830000000002</v>
      </c>
      <c r="D22" s="11">
        <v>19113.352910571222</v>
      </c>
      <c r="E22" s="11">
        <v>22334.489963837012</v>
      </c>
      <c r="F22" s="11">
        <v>26098.479124970443</v>
      </c>
      <c r="G22" s="11">
        <v>30496.8062283658</v>
      </c>
      <c r="H22" s="11">
        <v>35636.375042277257</v>
      </c>
    </row>
    <row r="23" spans="2:12" ht="15.6" x14ac:dyDescent="0.3">
      <c r="B23" s="21"/>
      <c r="C23" s="21"/>
      <c r="D23" s="21"/>
      <c r="E23" s="21"/>
      <c r="F23" s="21"/>
      <c r="G23" s="21"/>
      <c r="H23" s="21"/>
    </row>
    <row r="24" spans="2:12" ht="16.2" thickBot="1" x14ac:dyDescent="0.35">
      <c r="B24" s="54" t="s">
        <v>41</v>
      </c>
      <c r="C24" s="54">
        <v>54418.709999999977</v>
      </c>
      <c r="D24" s="54">
        <v>58716.411649268935</v>
      </c>
      <c r="E24" s="54">
        <v>68611.776951379856</v>
      </c>
      <c r="F24" s="54">
        <v>80174.789368016704</v>
      </c>
      <c r="G24" s="54">
        <v>93686.49429908942</v>
      </c>
      <c r="H24" s="54">
        <v>109475.30119180698</v>
      </c>
    </row>
    <row r="25" spans="2:12" ht="16.2" thickTop="1" x14ac:dyDescent="0.3">
      <c r="B25" s="11"/>
      <c r="C25" s="11"/>
      <c r="D25" s="11"/>
      <c r="E25" s="11"/>
      <c r="F25" s="11"/>
      <c r="G25" s="11"/>
      <c r="H25" s="11"/>
    </row>
    <row r="26" spans="2:12" x14ac:dyDescent="0.3">
      <c r="B26" s="84" t="s">
        <v>65</v>
      </c>
      <c r="C26" s="84"/>
      <c r="D26" s="84"/>
      <c r="E26" s="84"/>
      <c r="F26" s="84"/>
      <c r="G26" s="84"/>
      <c r="H26" s="84"/>
    </row>
    <row r="27" spans="2:12" x14ac:dyDescent="0.3">
      <c r="B27" s="84"/>
      <c r="C27" s="84"/>
      <c r="D27" s="84"/>
      <c r="E27" s="84"/>
      <c r="F27" s="84"/>
      <c r="G27" s="84"/>
      <c r="H27" s="84"/>
    </row>
    <row r="28" spans="2:12" x14ac:dyDescent="0.3">
      <c r="B28" s="84"/>
      <c r="C28" s="84"/>
      <c r="D28" s="84"/>
      <c r="E28" s="84"/>
      <c r="F28" s="84"/>
      <c r="G28" s="84"/>
      <c r="H28" s="84"/>
    </row>
    <row r="30" spans="2:12" x14ac:dyDescent="0.3">
      <c r="B30" s="101" t="s">
        <v>120</v>
      </c>
      <c r="C30" s="101"/>
      <c r="D30" s="101"/>
      <c r="E30" s="101"/>
      <c r="F30" s="101"/>
      <c r="G30" s="101"/>
      <c r="H30" s="101"/>
    </row>
    <row r="31" spans="2:12" ht="15.6" x14ac:dyDescent="0.3">
      <c r="B31" s="65"/>
      <c r="C31" s="102" t="s">
        <v>30</v>
      </c>
      <c r="D31" s="102"/>
      <c r="E31" s="103" t="s">
        <v>31</v>
      </c>
      <c r="F31" s="103"/>
      <c r="G31" s="103"/>
      <c r="H31" s="103"/>
    </row>
    <row r="32" spans="2:12" ht="15.6" x14ac:dyDescent="0.3">
      <c r="B32" s="60" t="s">
        <v>17</v>
      </c>
      <c r="C32" s="61" t="s">
        <v>70</v>
      </c>
      <c r="D32" s="61" t="s">
        <v>71</v>
      </c>
      <c r="E32" s="62" t="s">
        <v>72</v>
      </c>
      <c r="F32" s="62" t="s">
        <v>73</v>
      </c>
      <c r="G32" s="62" t="s">
        <v>74</v>
      </c>
      <c r="H32" s="62" t="s">
        <v>75</v>
      </c>
      <c r="I32" s="56"/>
      <c r="J32" s="56"/>
      <c r="K32" s="56"/>
      <c r="L32" s="56"/>
    </row>
    <row r="34" spans="2:8" ht="15.6" x14ac:dyDescent="0.3">
      <c r="B34" s="46" t="s">
        <v>102</v>
      </c>
    </row>
    <row r="35" spans="2:8" ht="15.6" x14ac:dyDescent="0.3">
      <c r="B35" s="31" t="s">
        <v>82</v>
      </c>
      <c r="C35" s="32">
        <v>1425</v>
      </c>
      <c r="D35" s="32">
        <v>1432</v>
      </c>
      <c r="E35" s="16">
        <f>D35*(1+E36)</f>
        <v>1442.0157358908223</v>
      </c>
      <c r="F35" s="16">
        <f t="shared" ref="F35:H35" si="0">E35*(1+F36)</f>
        <v>1452.1015241318084</v>
      </c>
      <c r="G35" s="16">
        <f t="shared" si="0"/>
        <v>1462.2578546851357</v>
      </c>
      <c r="H35" s="16">
        <f t="shared" si="0"/>
        <v>1472.4852209398889</v>
      </c>
    </row>
    <row r="36" spans="2:8" ht="15.6" x14ac:dyDescent="0.3">
      <c r="B36" s="11" t="s">
        <v>122</v>
      </c>
      <c r="C36" s="18">
        <v>0</v>
      </c>
      <c r="D36" s="18">
        <f t="shared" ref="D36" si="1">(D35/C35)-1</f>
        <v>4.9122807017543124E-3</v>
      </c>
      <c r="E36" s="18">
        <f>Assumption!$G$19</f>
        <v>6.9942289740378086E-3</v>
      </c>
      <c r="F36" s="18">
        <f>Assumption!$G$19</f>
        <v>6.9942289740378086E-3</v>
      </c>
      <c r="G36" s="18">
        <f>Assumption!$G$19</f>
        <v>6.9942289740378086E-3</v>
      </c>
      <c r="H36" s="18">
        <f>Assumption!$G$19</f>
        <v>6.9942289740378086E-3</v>
      </c>
    </row>
    <row r="37" spans="2:8" ht="15.6" x14ac:dyDescent="0.3">
      <c r="B37" s="11"/>
      <c r="C37" s="11"/>
      <c r="D37" s="11"/>
      <c r="E37" s="11"/>
      <c r="F37" s="11"/>
      <c r="G37" s="11"/>
      <c r="H37" s="11"/>
    </row>
    <row r="38" spans="2:8" ht="15.6" x14ac:dyDescent="0.3">
      <c r="B38" s="31" t="s">
        <v>9</v>
      </c>
      <c r="C38" s="32">
        <v>312481</v>
      </c>
      <c r="D38" s="32">
        <v>361628</v>
      </c>
      <c r="E38" s="16">
        <f>(D38+E27)-(Assumption!$G$24*'Financial Statement'!E30)</f>
        <v>361628</v>
      </c>
      <c r="F38" s="16">
        <f>(E38+F27)-(Assumption!$G$24*'Financial Statement'!F30)</f>
        <v>361628</v>
      </c>
      <c r="G38" s="16">
        <f>(F38+G27)-(Assumption!$G$24*'Financial Statement'!G30)</f>
        <v>361628</v>
      </c>
      <c r="H38" s="16">
        <f>(G38+H27)-(Assumption!$G$24*'Financial Statement'!H30)</f>
        <v>361628</v>
      </c>
    </row>
    <row r="39" spans="2:8" ht="15.6" x14ac:dyDescent="0.3">
      <c r="B39" s="11" t="s">
        <v>123</v>
      </c>
      <c r="C39" s="18">
        <v>0</v>
      </c>
      <c r="D39" s="18">
        <f t="shared" ref="D39:H39" si="2">(D38/C38)-1</f>
        <v>0.15727996262172739</v>
      </c>
      <c r="E39" s="18">
        <f t="shared" si="2"/>
        <v>0</v>
      </c>
      <c r="F39" s="18">
        <f t="shared" si="2"/>
        <v>0</v>
      </c>
      <c r="G39" s="18">
        <f t="shared" si="2"/>
        <v>0</v>
      </c>
      <c r="H39" s="18">
        <f t="shared" si="2"/>
        <v>0</v>
      </c>
    </row>
    <row r="40" spans="2:8" ht="15.6" x14ac:dyDescent="0.3">
      <c r="B40" s="11"/>
      <c r="C40" s="11"/>
      <c r="D40" s="11"/>
      <c r="E40" s="11"/>
      <c r="F40" s="11"/>
      <c r="G40" s="11"/>
      <c r="H40" s="11"/>
    </row>
    <row r="41" spans="2:8" ht="15.6" x14ac:dyDescent="0.3">
      <c r="B41" s="31" t="s">
        <v>84</v>
      </c>
      <c r="C41" s="43">
        <v>1641637</v>
      </c>
      <c r="D41" s="43">
        <v>1830020</v>
      </c>
      <c r="E41" s="16">
        <f>D41*(1+E42)</f>
        <v>2082763.5029378443</v>
      </c>
      <c r="F41" s="16">
        <f t="shared" ref="F41:H41" si="3">E41*(1+F42)</f>
        <v>2370413.3338269088</v>
      </c>
      <c r="G41" s="16">
        <f t="shared" si="3"/>
        <v>2697790.3949530097</v>
      </c>
      <c r="H41" s="16">
        <f t="shared" si="3"/>
        <v>3070381.4019433674</v>
      </c>
    </row>
    <row r="42" spans="2:8" ht="15.6" x14ac:dyDescent="0.3">
      <c r="B42" s="10" t="s">
        <v>123</v>
      </c>
      <c r="C42" s="57">
        <v>0</v>
      </c>
      <c r="D42" s="44">
        <f t="shared" ref="D42" si="4">(D41/C41)-1</f>
        <v>0.11475313970140788</v>
      </c>
      <c r="E42" s="17">
        <f>Assumption!$G$28</f>
        <v>0.13810969439560469</v>
      </c>
      <c r="F42" s="17">
        <f>Assumption!$G$28</f>
        <v>0.13810969439560469</v>
      </c>
      <c r="G42" s="17">
        <f>Assumption!$G$28</f>
        <v>0.13810969439560469</v>
      </c>
      <c r="H42" s="17">
        <f>Assumption!$G$28</f>
        <v>0.13810969439560469</v>
      </c>
    </row>
    <row r="43" spans="2:8" ht="15.6" x14ac:dyDescent="0.3">
      <c r="B43" s="11"/>
      <c r="C43" s="11"/>
      <c r="D43" s="11"/>
      <c r="E43" s="11"/>
      <c r="F43" s="11"/>
      <c r="G43" s="11"/>
      <c r="H43" s="11"/>
    </row>
    <row r="44" spans="2:8" ht="15.6" x14ac:dyDescent="0.3">
      <c r="B44" s="31" t="s">
        <v>22</v>
      </c>
      <c r="C44" s="43">
        <v>218883</v>
      </c>
      <c r="D44" s="43">
        <v>220264</v>
      </c>
      <c r="E44" s="45">
        <f>D44*(1+E45)</f>
        <v>240158.92100043781</v>
      </c>
      <c r="F44" s="45">
        <f t="shared" ref="F44:H44" si="5">E44*(1+F45)</f>
        <v>261850.81237103898</v>
      </c>
      <c r="G44" s="45">
        <f t="shared" si="5"/>
        <v>285501.98199486441</v>
      </c>
      <c r="H44" s="45">
        <f t="shared" si="5"/>
        <v>311289.39790148666</v>
      </c>
    </row>
    <row r="45" spans="2:8" ht="15.6" x14ac:dyDescent="0.3">
      <c r="B45" s="11" t="s">
        <v>98</v>
      </c>
      <c r="C45" s="18">
        <v>0</v>
      </c>
      <c r="D45" s="18">
        <f t="shared" ref="D45" si="6">(D44/C44)-1</f>
        <v>6.3093067986093043E-3</v>
      </c>
      <c r="E45" s="17">
        <f>Assumption!$G$29</f>
        <v>9.0323071407210478E-2</v>
      </c>
      <c r="F45" s="17">
        <f>Assumption!$G$29</f>
        <v>9.0323071407210478E-2</v>
      </c>
      <c r="G45" s="17">
        <f>Assumption!$G$29</f>
        <v>9.0323071407210478E-2</v>
      </c>
      <c r="H45" s="17">
        <f>Assumption!$G$29</f>
        <v>9.0323071407210478E-2</v>
      </c>
    </row>
    <row r="46" spans="2:8" ht="15.6" x14ac:dyDescent="0.3">
      <c r="B46" s="11"/>
      <c r="C46" s="11"/>
      <c r="D46" s="11"/>
      <c r="E46" s="11"/>
      <c r="F46" s="11"/>
      <c r="G46" s="11"/>
      <c r="H46" s="11"/>
    </row>
    <row r="47" spans="2:8" ht="15.6" x14ac:dyDescent="0.3">
      <c r="B47" s="31" t="s">
        <v>23</v>
      </c>
      <c r="C47" s="32">
        <v>467815</v>
      </c>
      <c r="D47" s="32">
        <v>501153</v>
      </c>
      <c r="E47" s="16">
        <f>(D47)*(1+E48)</f>
        <v>553583.75197980052</v>
      </c>
      <c r="F47" s="16">
        <f t="shared" ref="F47:H47" si="7">(E47)*(1+F48)</f>
        <v>611499.8223217926</v>
      </c>
      <c r="G47" s="16">
        <f t="shared" si="7"/>
        <v>675475.08640251448</v>
      </c>
      <c r="H47" s="16">
        <f t="shared" si="7"/>
        <v>746143.45858367393</v>
      </c>
    </row>
    <row r="48" spans="2:8" ht="15.6" x14ac:dyDescent="0.3">
      <c r="B48" s="11" t="s">
        <v>121</v>
      </c>
      <c r="C48" s="18">
        <v>0</v>
      </c>
      <c r="D48" s="18">
        <f t="shared" ref="D48" si="8">(D47/C47)-1</f>
        <v>7.12632130222417E-2</v>
      </c>
      <c r="E48" s="17">
        <f>Assumption!$G$30</f>
        <v>0.10462024966387622</v>
      </c>
      <c r="F48" s="17">
        <f>Assumption!$G$30</f>
        <v>0.10462024966387622</v>
      </c>
      <c r="G48" s="17">
        <f>Assumption!$G$30</f>
        <v>0.10462024966387622</v>
      </c>
      <c r="H48" s="17">
        <f>Assumption!$G$30</f>
        <v>0.10462024966387622</v>
      </c>
    </row>
    <row r="49" spans="2:8" ht="15.6" x14ac:dyDescent="0.3">
      <c r="B49" s="11"/>
      <c r="C49" s="11"/>
      <c r="D49" s="11"/>
      <c r="E49" s="11"/>
      <c r="F49" s="11"/>
      <c r="G49" s="11"/>
      <c r="H49" s="11"/>
    </row>
    <row r="50" spans="2:8" ht="16.2" thickBot="1" x14ac:dyDescent="0.35">
      <c r="B50" s="55" t="s">
        <v>101</v>
      </c>
      <c r="C50" s="55">
        <f t="shared" ref="C50:H50" si="9">(C35+C38+C41+C44+C47)</f>
        <v>2642241</v>
      </c>
      <c r="D50" s="55">
        <f t="shared" si="9"/>
        <v>2914497</v>
      </c>
      <c r="E50" s="55">
        <f t="shared" si="9"/>
        <v>3239576.1916539734</v>
      </c>
      <c r="F50" s="55">
        <f t="shared" si="9"/>
        <v>3606844.0700438721</v>
      </c>
      <c r="G50" s="55">
        <f t="shared" si="9"/>
        <v>4021857.7212050739</v>
      </c>
      <c r="H50" s="55">
        <f t="shared" si="9"/>
        <v>4490914.7436494678</v>
      </c>
    </row>
    <row r="51" spans="2:8" ht="15" thickTop="1" x14ac:dyDescent="0.3"/>
    <row r="52" spans="2:8" ht="15.6" x14ac:dyDescent="0.3">
      <c r="B52" s="47" t="s">
        <v>87</v>
      </c>
    </row>
    <row r="53" spans="2:8" ht="15.6" x14ac:dyDescent="0.3">
      <c r="B53" s="52" t="s">
        <v>88</v>
      </c>
      <c r="C53" s="58">
        <f>'Financial Statement'!G62</f>
        <v>24272</v>
      </c>
      <c r="D53" s="58">
        <f>'Financial Statement'!H62</f>
        <v>27970</v>
      </c>
      <c r="E53" s="58">
        <f>'Financial Statement'!I62</f>
        <v>28321.053996077691</v>
      </c>
      <c r="F53" s="58">
        <f>'Financial Statement'!J62</f>
        <v>29644.30165973393</v>
      </c>
      <c r="G53" s="58">
        <f>'Financial Statement'!K62</f>
        <v>30548.441545236998</v>
      </c>
      <c r="H53" s="58">
        <f>'Financial Statement'!L62</f>
        <v>30843.320357678451</v>
      </c>
    </row>
    <row r="54" spans="2:8" ht="15.6" x14ac:dyDescent="0.3">
      <c r="B54" s="52"/>
      <c r="C54" s="58"/>
      <c r="D54" s="58"/>
      <c r="E54" s="58"/>
      <c r="F54" s="58"/>
      <c r="G54" s="58"/>
      <c r="H54" s="58"/>
    </row>
    <row r="55" spans="2:8" x14ac:dyDescent="0.3">
      <c r="B55" s="31" t="s">
        <v>10</v>
      </c>
      <c r="C55" s="58">
        <f>'Financial Statement'!G63</f>
        <v>886377</v>
      </c>
      <c r="D55" s="58">
        <f>'Financial Statement'!H63</f>
        <v>870720</v>
      </c>
      <c r="E55" s="58">
        <f>'Financial Statement'!I63</f>
        <v>963348.95072665799</v>
      </c>
      <c r="F55" s="58">
        <f>'Financial Statement'!J63</f>
        <v>1065831.9561582976</v>
      </c>
      <c r="G55" s="58">
        <f>'Financial Statement'!K63</f>
        <v>1179217.3105200722</v>
      </c>
      <c r="H55" s="58">
        <f>'Financial Statement'!L63</f>
        <v>1304664.8276922812</v>
      </c>
    </row>
    <row r="56" spans="2:8" x14ac:dyDescent="0.3">
      <c r="B56" s="31"/>
      <c r="C56" s="58"/>
      <c r="D56" s="58"/>
      <c r="E56" s="58"/>
      <c r="F56" s="58"/>
      <c r="G56" s="58"/>
      <c r="H56" s="58"/>
    </row>
    <row r="57" spans="2:8" x14ac:dyDescent="0.3">
      <c r="B57" s="10" t="s">
        <v>24</v>
      </c>
      <c r="C57" s="58">
        <f>'Financial Statement'!G65</f>
        <v>1731593</v>
      </c>
      <c r="D57" s="58">
        <f>'Financial Statement'!H65</f>
        <v>2015808</v>
      </c>
      <c r="E57" s="58">
        <f>'Financial Statement'!I65</f>
        <v>2306814.4591459129</v>
      </c>
      <c r="F57" s="58">
        <f>'Financial Statement'!J65</f>
        <v>2639112.0558538809</v>
      </c>
      <c r="G57" s="58">
        <f>'Financial Statement'!K65</f>
        <v>3020272.9796645464</v>
      </c>
      <c r="H57" s="58">
        <f>'Financial Statement'!L65</f>
        <v>3457580.2285273001</v>
      </c>
    </row>
    <row r="58" spans="2:8" x14ac:dyDescent="0.3">
      <c r="B58" s="10"/>
      <c r="C58" s="58"/>
      <c r="D58" s="58"/>
      <c r="E58" s="58"/>
      <c r="F58" s="58"/>
      <c r="G58" s="58"/>
      <c r="H58" s="58"/>
    </row>
    <row r="59" spans="2:8" ht="15.6" x14ac:dyDescent="0.3">
      <c r="B59" s="59" t="s">
        <v>89</v>
      </c>
      <c r="C59" s="63">
        <f>'Financial Statement'!G68</f>
        <v>2642242</v>
      </c>
      <c r="D59" s="64">
        <f>'Financial Statement'!H68</f>
        <v>2914498</v>
      </c>
      <c r="E59" s="64">
        <f>'Financial Statement'!I68</f>
        <v>3298484.4638686487</v>
      </c>
      <c r="F59" s="64">
        <f>'Financial Statement'!J68</f>
        <v>3734588.3136719125</v>
      </c>
      <c r="G59" s="64">
        <f>'Financial Statement'!K68</f>
        <v>4230038.7317298558</v>
      </c>
      <c r="H59" s="64">
        <f>'Financial Statement'!L68</f>
        <v>4793088.37657726</v>
      </c>
    </row>
  </sheetData>
  <mergeCells count="7">
    <mergeCell ref="B6:H6"/>
    <mergeCell ref="B30:H30"/>
    <mergeCell ref="C31:D31"/>
    <mergeCell ref="E31:H31"/>
    <mergeCell ref="B26:H28"/>
    <mergeCell ref="E7:H7"/>
    <mergeCell ref="C7:D7"/>
  </mergeCells>
  <pageMargins left="0.7" right="0.7" top="0.75" bottom="0.75" header="0.3" footer="0.3"/>
  <pageSetup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Sheet</vt:lpstr>
      <vt:lpstr>Financial Statement</vt:lpstr>
      <vt:lpstr>Assumption</vt:lpstr>
      <vt:lpstr>Sheet3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 Keot</dc:creator>
  <cp:lastModifiedBy>Aban Keot</cp:lastModifiedBy>
  <cp:lastPrinted>2026-08-03T21:51:15Z</cp:lastPrinted>
  <dcterms:created xsi:type="dcterms:W3CDTF">2012-08-17T09:55:37Z</dcterms:created>
  <dcterms:modified xsi:type="dcterms:W3CDTF">2026-08-23T17:42:19Z</dcterms:modified>
</cp:coreProperties>
</file>