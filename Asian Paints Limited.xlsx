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odeling\"/>
    </mc:Choice>
  </mc:AlternateContent>
  <xr:revisionPtr revIDLastSave="0" documentId="13_ncr:1_{D8F6FA54-9453-43AC-8FF6-0C3728DC42BF}" xr6:coauthVersionLast="47" xr6:coauthVersionMax="47" xr10:uidLastSave="{00000000-0000-0000-0000-000000000000}"/>
  <bookViews>
    <workbookView xWindow="5052" yWindow="3360" windowWidth="17280" windowHeight="8880" xr2:uid="{00000000-000D-0000-FFFF-FFFF00000000}"/>
  </bookViews>
  <sheets>
    <sheet name="Data Sheet" sheetId="6" r:id="rId1"/>
    <sheet name="Financial Statement" sheetId="7" r:id="rId2"/>
    <sheet name="Assumptions" sheetId="8" r:id="rId3"/>
    <sheet name="FCFF" sheetId="12" r:id="rId4"/>
    <sheet name="Valuation" sheetId="9" r:id="rId5"/>
    <sheet name="Report" sheetId="13" r:id="rId6"/>
  </sheets>
  <definedNames>
    <definedName name="UPDATE">'Data Sheet'!#REF!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7" l="1"/>
  <c r="F10" i="7"/>
  <c r="E10" i="7"/>
  <c r="D10" i="7"/>
  <c r="C10" i="7"/>
  <c r="G3" i="13" l="1"/>
  <c r="F3" i="13"/>
  <c r="E3" i="13"/>
  <c r="D3" i="13"/>
  <c r="C3" i="13"/>
  <c r="F20" i="12"/>
  <c r="C8" i="9"/>
  <c r="L41" i="7"/>
  <c r="K41" i="7"/>
  <c r="J41" i="7"/>
  <c r="I41" i="7"/>
  <c r="H41" i="7"/>
  <c r="G41" i="7"/>
  <c r="F41" i="7"/>
  <c r="E41" i="7"/>
  <c r="D41" i="7"/>
  <c r="C41" i="7"/>
  <c r="B32" i="12"/>
  <c r="B71" i="8"/>
  <c r="B70" i="8"/>
  <c r="G34" i="7" l="1"/>
  <c r="F34" i="7"/>
  <c r="E34" i="7"/>
  <c r="D34" i="7"/>
  <c r="C34" i="7"/>
  <c r="G28" i="7"/>
  <c r="F28" i="7"/>
  <c r="E28" i="7"/>
  <c r="D28" i="7"/>
  <c r="C28" i="7"/>
  <c r="G22" i="7"/>
  <c r="F22" i="7"/>
  <c r="E22" i="7"/>
  <c r="D22" i="7"/>
  <c r="C22" i="7"/>
  <c r="G16" i="7"/>
  <c r="F16" i="7"/>
  <c r="E16" i="7"/>
  <c r="D16" i="7"/>
  <c r="C16" i="7"/>
  <c r="G7" i="7"/>
  <c r="F7" i="7"/>
  <c r="E7" i="7"/>
  <c r="D7" i="7"/>
  <c r="C7" i="7"/>
  <c r="A18" i="12" l="1"/>
  <c r="F48" i="8"/>
  <c r="E48" i="8"/>
  <c r="D48" i="8"/>
  <c r="C48" i="8"/>
  <c r="B48" i="8"/>
  <c r="F46" i="8"/>
  <c r="E46" i="8"/>
  <c r="D46" i="8"/>
  <c r="C46" i="8"/>
  <c r="B46" i="8"/>
  <c r="F44" i="8"/>
  <c r="E44" i="8"/>
  <c r="D44" i="8"/>
  <c r="C44" i="8"/>
  <c r="B44" i="8"/>
  <c r="B66" i="8"/>
  <c r="B32" i="8"/>
  <c r="B34" i="8" s="1"/>
  <c r="F32" i="8"/>
  <c r="F34" i="8" s="1"/>
  <c r="E32" i="8"/>
  <c r="E34" i="8" s="1"/>
  <c r="D32" i="8"/>
  <c r="D34" i="8" s="1"/>
  <c r="C32" i="8"/>
  <c r="C34" i="8" s="1"/>
  <c r="C13" i="7"/>
  <c r="C17" i="7"/>
  <c r="C23" i="7"/>
  <c r="C29" i="7"/>
  <c r="G23" i="7"/>
  <c r="F23" i="7"/>
  <c r="E23" i="7"/>
  <c r="D23" i="7"/>
  <c r="C9" i="9"/>
  <c r="C6" i="9"/>
  <c r="B31" i="12" s="1"/>
  <c r="G29" i="7"/>
  <c r="F29" i="7"/>
  <c r="E29" i="7"/>
  <c r="D29" i="7"/>
  <c r="G17" i="7"/>
  <c r="F17" i="7"/>
  <c r="E17" i="7"/>
  <c r="D17" i="7"/>
  <c r="G13" i="7"/>
  <c r="G14" i="7" s="1"/>
  <c r="F13" i="7"/>
  <c r="E13" i="7"/>
  <c r="E14" i="7" s="1"/>
  <c r="D13" i="7"/>
  <c r="G8" i="7"/>
  <c r="F8" i="7"/>
  <c r="E8" i="7"/>
  <c r="D8" i="7"/>
  <c r="B69" i="8" l="1"/>
  <c r="B72" i="8"/>
  <c r="B33" i="12"/>
  <c r="B37" i="12" s="1"/>
  <c r="D50" i="8"/>
  <c r="D54" i="8" s="1"/>
  <c r="E50" i="8"/>
  <c r="E54" i="8" s="1"/>
  <c r="B50" i="8"/>
  <c r="B54" i="8" s="1"/>
  <c r="F50" i="8"/>
  <c r="F54" i="8" s="1"/>
  <c r="C50" i="8"/>
  <c r="C54" i="8" s="1"/>
  <c r="C14" i="7"/>
  <c r="C19" i="7"/>
  <c r="C20" i="7" s="1"/>
  <c r="C11" i="7"/>
  <c r="B36" i="8"/>
  <c r="D22" i="8"/>
  <c r="H23" i="7" s="1"/>
  <c r="C8" i="8"/>
  <c r="C6" i="8" s="1"/>
  <c r="D25" i="8"/>
  <c r="L29" i="7" s="1"/>
  <c r="F11" i="7"/>
  <c r="E11" i="7"/>
  <c r="G11" i="7"/>
  <c r="E19" i="7"/>
  <c r="F19" i="7"/>
  <c r="D11" i="7"/>
  <c r="D18" i="8"/>
  <c r="I17" i="7" s="1"/>
  <c r="D19" i="7"/>
  <c r="D25" i="7" s="1"/>
  <c r="D14" i="7"/>
  <c r="G19" i="7"/>
  <c r="G25" i="7" s="1"/>
  <c r="F14" i="7"/>
  <c r="B73" i="8" l="1"/>
  <c r="B35" i="12"/>
  <c r="F52" i="8"/>
  <c r="E52" i="8"/>
  <c r="D52" i="8"/>
  <c r="C52" i="8"/>
  <c r="B56" i="8"/>
  <c r="C25" i="7"/>
  <c r="C26" i="7" s="1"/>
  <c r="G26" i="7"/>
  <c r="G31" i="7"/>
  <c r="D26" i="7"/>
  <c r="D31" i="7"/>
  <c r="J23" i="7"/>
  <c r="K23" i="7"/>
  <c r="L23" i="7"/>
  <c r="E20" i="7"/>
  <c r="E25" i="7"/>
  <c r="F20" i="7"/>
  <c r="F25" i="7"/>
  <c r="I23" i="7"/>
  <c r="L17" i="7"/>
  <c r="H29" i="7"/>
  <c r="J29" i="7"/>
  <c r="K29" i="7"/>
  <c r="D3" i="8"/>
  <c r="H8" i="7" s="1"/>
  <c r="H7" i="7" s="1"/>
  <c r="H28" i="7" s="1"/>
  <c r="I29" i="7"/>
  <c r="C7" i="8"/>
  <c r="J17" i="7"/>
  <c r="H17" i="7"/>
  <c r="K17" i="7"/>
  <c r="C15" i="8"/>
  <c r="D11" i="8" s="1"/>
  <c r="G20" i="7"/>
  <c r="D20" i="7"/>
  <c r="B58" i="8" l="1"/>
  <c r="C31" i="7"/>
  <c r="C32" i="7" s="1"/>
  <c r="H22" i="7"/>
  <c r="B7" i="12" s="1"/>
  <c r="B39" i="8"/>
  <c r="B8" i="12" s="1"/>
  <c r="F26" i="7"/>
  <c r="F31" i="7"/>
  <c r="F35" i="7" s="1"/>
  <c r="E26" i="7"/>
  <c r="E31" i="7"/>
  <c r="E35" i="7" s="1"/>
  <c r="K8" i="7"/>
  <c r="L8" i="7"/>
  <c r="J8" i="7"/>
  <c r="I8" i="7"/>
  <c r="I7" i="7" s="1"/>
  <c r="I28" i="7" s="1"/>
  <c r="H16" i="7"/>
  <c r="C13" i="8"/>
  <c r="C14" i="8"/>
  <c r="L11" i="7"/>
  <c r="L14" i="7" s="1"/>
  <c r="K11" i="7"/>
  <c r="K14" i="7" s="1"/>
  <c r="J11" i="7"/>
  <c r="J14" i="7" s="1"/>
  <c r="I11" i="7"/>
  <c r="H11" i="7"/>
  <c r="G32" i="7"/>
  <c r="G35" i="7"/>
  <c r="B75" i="8" s="1"/>
  <c r="G37" i="7"/>
  <c r="G43" i="7" s="1"/>
  <c r="D37" i="7"/>
  <c r="D43" i="7" s="1"/>
  <c r="D32" i="7"/>
  <c r="D35" i="7"/>
  <c r="B60" i="8" l="1"/>
  <c r="B9" i="12" s="1"/>
  <c r="B39" i="12"/>
  <c r="C35" i="7"/>
  <c r="C39" i="8"/>
  <c r="C8" i="12" s="1"/>
  <c r="C58" i="8"/>
  <c r="C37" i="7"/>
  <c r="C43" i="7" s="1"/>
  <c r="I22" i="7"/>
  <c r="C7" i="12" s="1"/>
  <c r="E32" i="7"/>
  <c r="F32" i="7"/>
  <c r="E37" i="7"/>
  <c r="E43" i="7" s="1"/>
  <c r="F37" i="7"/>
  <c r="F43" i="7" s="1"/>
  <c r="G38" i="7"/>
  <c r="D38" i="7"/>
  <c r="J7" i="7"/>
  <c r="J28" i="7" s="1"/>
  <c r="I16" i="7"/>
  <c r="H14" i="7"/>
  <c r="H10" i="7"/>
  <c r="H13" i="7" s="1"/>
  <c r="H19" i="7" s="1"/>
  <c r="I14" i="7"/>
  <c r="I10" i="7"/>
  <c r="I13" i="7" s="1"/>
  <c r="D19" i="12" l="1"/>
  <c r="C8" i="13"/>
  <c r="H25" i="7"/>
  <c r="B4" i="12" s="1"/>
  <c r="C4" i="13"/>
  <c r="C60" i="8"/>
  <c r="C9" i="12" s="1"/>
  <c r="C38" i="7"/>
  <c r="D39" i="8"/>
  <c r="D8" i="12" s="1"/>
  <c r="D58" i="8"/>
  <c r="E38" i="7"/>
  <c r="D28" i="8"/>
  <c r="K35" i="7" s="1"/>
  <c r="E5" i="12" s="1"/>
  <c r="F38" i="7"/>
  <c r="H31" i="7"/>
  <c r="K7" i="7"/>
  <c r="K28" i="7" s="1"/>
  <c r="J22" i="7"/>
  <c r="D7" i="12" s="1"/>
  <c r="J16" i="7"/>
  <c r="J10" i="7"/>
  <c r="J13" i="7" s="1"/>
  <c r="H20" i="7"/>
  <c r="I19" i="7"/>
  <c r="H26" i="7" l="1"/>
  <c r="I25" i="7"/>
  <c r="C4" i="12" s="1"/>
  <c r="D4" i="13"/>
  <c r="D60" i="8"/>
  <c r="D9" i="12" s="1"/>
  <c r="E39" i="8"/>
  <c r="E8" i="12" s="1"/>
  <c r="E58" i="8"/>
  <c r="L7" i="7"/>
  <c r="L28" i="7" s="1"/>
  <c r="I26" i="7"/>
  <c r="K10" i="7"/>
  <c r="K13" i="7" s="1"/>
  <c r="K16" i="7"/>
  <c r="K22" i="7"/>
  <c r="E7" i="12" s="1"/>
  <c r="J19" i="7"/>
  <c r="E4" i="13" s="1"/>
  <c r="H35" i="7"/>
  <c r="H34" i="7" s="1"/>
  <c r="L35" i="7"/>
  <c r="F5" i="12" s="1"/>
  <c r="I35" i="7"/>
  <c r="C5" i="12" s="1"/>
  <c r="C6" i="12" s="1"/>
  <c r="C10" i="12" s="1"/>
  <c r="J35" i="7"/>
  <c r="D5" i="12" s="1"/>
  <c r="H32" i="7"/>
  <c r="I20" i="7"/>
  <c r="C12" i="12" l="1"/>
  <c r="D9" i="13" s="1"/>
  <c r="D7" i="13"/>
  <c r="E60" i="8"/>
  <c r="E9" i="12" s="1"/>
  <c r="F39" i="8"/>
  <c r="F8" i="12" s="1"/>
  <c r="F58" i="8"/>
  <c r="L10" i="7"/>
  <c r="L13" i="7" s="1"/>
  <c r="L22" i="7"/>
  <c r="F7" i="12" s="1"/>
  <c r="L16" i="7"/>
  <c r="H37" i="7"/>
  <c r="B5" i="12"/>
  <c r="B6" i="12" s="1"/>
  <c r="B10" i="12" s="1"/>
  <c r="K19" i="7"/>
  <c r="J20" i="7"/>
  <c r="J25" i="7"/>
  <c r="D4" i="12" s="1"/>
  <c r="D6" i="12" s="1"/>
  <c r="D10" i="12" s="1"/>
  <c r="D12" i="12" l="1"/>
  <c r="E9" i="13" s="1"/>
  <c r="E7" i="13"/>
  <c r="K25" i="7"/>
  <c r="E4" i="12" s="1"/>
  <c r="E6" i="12" s="1"/>
  <c r="E10" i="12" s="1"/>
  <c r="F4" i="13"/>
  <c r="B12" i="12"/>
  <c r="C9" i="13" s="1"/>
  <c r="C7" i="13"/>
  <c r="H43" i="7"/>
  <c r="C5" i="13"/>
  <c r="F60" i="8"/>
  <c r="F9" i="12" s="1"/>
  <c r="L19" i="7"/>
  <c r="K26" i="7"/>
  <c r="K20" i="7"/>
  <c r="J26" i="7"/>
  <c r="H38" i="7"/>
  <c r="E12" i="12" l="1"/>
  <c r="F9" i="13" s="1"/>
  <c r="F7" i="13"/>
  <c r="L20" i="7"/>
  <c r="G4" i="13"/>
  <c r="L25" i="7"/>
  <c r="F4" i="12" s="1"/>
  <c r="F6" i="12" s="1"/>
  <c r="F10" i="12" s="1"/>
  <c r="G7" i="13" s="1"/>
  <c r="I31" i="7"/>
  <c r="I34" i="7" s="1"/>
  <c r="F12" i="12" l="1"/>
  <c r="B16" i="12"/>
  <c r="B18" i="12" s="1"/>
  <c r="L26" i="7"/>
  <c r="J31" i="7"/>
  <c r="J34" i="7" s="1"/>
  <c r="B14" i="12" l="1"/>
  <c r="G9" i="13"/>
  <c r="B19" i="12"/>
  <c r="C13" i="13" s="1"/>
  <c r="C11" i="13"/>
  <c r="I32" i="7"/>
  <c r="I37" i="7"/>
  <c r="K31" i="7"/>
  <c r="K34" i="7" s="1"/>
  <c r="I43" i="7" l="1"/>
  <c r="D5" i="13"/>
  <c r="B22" i="12"/>
  <c r="I38" i="7"/>
  <c r="L31" i="7"/>
  <c r="L34" i="7" s="1"/>
  <c r="J32" i="7"/>
  <c r="J37" i="7"/>
  <c r="J43" i="7" l="1"/>
  <c r="C3" i="9" s="1"/>
  <c r="E5" i="13"/>
  <c r="B24" i="12"/>
  <c r="C17" i="13" s="1"/>
  <c r="C15" i="13"/>
  <c r="J38" i="7"/>
  <c r="K32" i="7"/>
  <c r="K37" i="7"/>
  <c r="L32" i="7"/>
  <c r="L37" i="7"/>
  <c r="K43" i="7" l="1"/>
  <c r="F5" i="13"/>
  <c r="L43" i="7"/>
  <c r="G5" i="13"/>
  <c r="L38" i="7"/>
  <c r="C5" i="9"/>
  <c r="K38" i="7"/>
  <c r="C11" i="9" l="1"/>
  <c r="C13" i="9" l="1"/>
  <c r="C15" i="9" s="1"/>
  <c r="B5" i="6"/>
  <c r="B26" i="12"/>
  <c r="C19" i="13" s="1"/>
</calcChain>
</file>

<file path=xl/sharedStrings.xml><?xml version="1.0" encoding="utf-8"?>
<sst xmlns="http://schemas.openxmlformats.org/spreadsheetml/2006/main" count="298" uniqueCount="214">
  <si>
    <t>Sales</t>
  </si>
  <si>
    <t>Other Income</t>
  </si>
  <si>
    <t>Depreciation</t>
  </si>
  <si>
    <t>Interest</t>
  </si>
  <si>
    <t>Profit before tax</t>
  </si>
  <si>
    <t>Tax</t>
  </si>
  <si>
    <t>Net profit</t>
  </si>
  <si>
    <t>Reserves</t>
  </si>
  <si>
    <t>Investments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</si>
  <si>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</si>
  <si>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</si>
  <si>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</si>
  <si>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</si>
  <si>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</si>
  <si>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</si>
  <si>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BALANCE SHEET</t>
  </si>
  <si>
    <t>CASH FLOW:</t>
  </si>
  <si>
    <t>Current Price</t>
  </si>
  <si>
    <t>Inventory</t>
  </si>
  <si>
    <t>EPS</t>
  </si>
  <si>
    <t>Dividend Amount</t>
  </si>
  <si>
    <t>Borrowings</t>
  </si>
  <si>
    <t>Other Liabilities</t>
  </si>
  <si>
    <t>Other Assets</t>
  </si>
  <si>
    <t>Receivables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</si>
  <si>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</si>
  <si>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</si>
  <si>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</si>
  <si>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</si>
  <si>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</si>
  <si>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</si>
  <si>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</si>
  <si>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Face value</t>
  </si>
  <si>
    <t>₹ 1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</si>
  <si>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</si>
  <si>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</si>
  <si>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</si>
  <si>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</si>
  <si>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</si>
  <si>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</si>
  <si>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</si>
  <si>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</si>
  <si>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</si>
  <si>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</si>
  <si>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</si>
  <si>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</si>
  <si>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Redemption/Cancellation of Shares</t>
  </si>
  <si>
    <t>Other investing items</t>
  </si>
  <si>
    <t>Proceeds from shares</t>
  </si>
  <si>
    <t>Proceeds from borrowings</t>
  </si>
  <si>
    <t>Repayment of borrowings</t>
  </si>
  <si>
    <t>Interest paid</t>
  </si>
  <si>
    <t>Dividends paid</t>
  </si>
  <si>
    <t>Financial liabilities</t>
  </si>
  <si>
    <t>Other financing items</t>
  </si>
  <si>
    <t>Free Cash Flow</t>
  </si>
  <si>
    <t>CFO/OP (%)</t>
  </si>
  <si>
    <t>Income Statement</t>
  </si>
  <si>
    <t>Sales Growth %</t>
  </si>
  <si>
    <t>COGS</t>
  </si>
  <si>
    <t>COGS % of Sales</t>
  </si>
  <si>
    <t>Average</t>
  </si>
  <si>
    <t>Gross Profit</t>
  </si>
  <si>
    <t>Gross Margin</t>
  </si>
  <si>
    <t>Operating Expenses</t>
  </si>
  <si>
    <t>OE % of Sales</t>
  </si>
  <si>
    <t>EBITDA</t>
  </si>
  <si>
    <t>EBITDAMargin</t>
  </si>
  <si>
    <t>Interest % of Sales</t>
  </si>
  <si>
    <t>Depreciation % of Sales</t>
  </si>
  <si>
    <t>EBT</t>
  </si>
  <si>
    <t>EBT % of Sales</t>
  </si>
  <si>
    <t>Effective Tax Rates</t>
  </si>
  <si>
    <t>Net Profit</t>
  </si>
  <si>
    <t>Net Margin</t>
  </si>
  <si>
    <t>Bull Case</t>
  </si>
  <si>
    <t>Bear Case</t>
  </si>
  <si>
    <t>Base Case</t>
  </si>
  <si>
    <t>Sales Assumption Type</t>
  </si>
  <si>
    <t>Rate</t>
  </si>
  <si>
    <t>Target Price</t>
  </si>
  <si>
    <t>Average of Dep %</t>
  </si>
  <si>
    <t>Expected</t>
  </si>
  <si>
    <t>Actual</t>
  </si>
  <si>
    <t>Interest % average</t>
  </si>
  <si>
    <t>Target P/E</t>
  </si>
  <si>
    <t>cr approx</t>
  </si>
  <si>
    <t>Recommendation</t>
  </si>
  <si>
    <t>Dividend Yield %</t>
  </si>
  <si>
    <t xml:space="preserve">Dividend Yield = </t>
  </si>
  <si>
    <t>Price Return %</t>
  </si>
  <si>
    <t>Total Expected Return</t>
  </si>
  <si>
    <t>Recommendation is based on total return approach (including dividends)</t>
  </si>
  <si>
    <t>Select the FY for EPS Forward</t>
  </si>
  <si>
    <t>EBIT</t>
  </si>
  <si>
    <t>EBIT %  of Sales</t>
  </si>
  <si>
    <t>Item</t>
  </si>
  <si>
    <t>FCFF Schedule</t>
  </si>
  <si>
    <t>Tax Rate</t>
  </si>
  <si>
    <t>NOPAT</t>
  </si>
  <si>
    <t>Depreciation &amp; Amortization</t>
  </si>
  <si>
    <t>Capital Expenditure (Capex)</t>
  </si>
  <si>
    <t>Change in Net Working Capital</t>
  </si>
  <si>
    <t>FCFF</t>
  </si>
  <si>
    <t>Historical Capex</t>
  </si>
  <si>
    <t>Capex % of Revenue</t>
  </si>
  <si>
    <t>Forecast Capex %</t>
  </si>
  <si>
    <t>Forecast Capex</t>
  </si>
  <si>
    <t>Calculating Capital expenditure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</si>
  <si>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</si>
  <si>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</si>
  <si>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</si>
  <si>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</si>
  <si>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</si>
  <si>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</si>
  <si>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</si>
  <si>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</si>
  <si>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</si>
  <si>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Fixed Assets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</si>
  <si>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</si>
  <si>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</si>
  <si>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</si>
  <si>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</si>
  <si>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</si>
  <si>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</si>
  <si>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</si>
  <si>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</si>
  <si>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</si>
  <si>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</si>
  <si>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</si>
  <si>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</si>
  <si>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</si>
  <si>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</si>
  <si>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</si>
  <si>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Total Assets</t>
  </si>
  <si>
    <t>#</t>
  </si>
  <si>
    <t>Net Working Capital</t>
  </si>
  <si>
    <t>Year</t>
  </si>
  <si>
    <t>Trade Receiveable</t>
  </si>
  <si>
    <t>Trade Payable</t>
  </si>
  <si>
    <t>Calculating Net Working Capital</t>
  </si>
  <si>
    <t>Change in WC</t>
  </si>
  <si>
    <t>NA</t>
  </si>
  <si>
    <t>NWC % of Sales</t>
  </si>
  <si>
    <t>Forecast NWC %</t>
  </si>
  <si>
    <t>Forecast NWC</t>
  </si>
  <si>
    <t>Change if Forecaster NWC</t>
  </si>
  <si>
    <t>Figures in ₹ Crores (Unless stated)</t>
  </si>
  <si>
    <t>Avg of OpEx % of Sales</t>
  </si>
  <si>
    <t>cr (approx)</t>
  </si>
  <si>
    <t>Number of shares =</t>
  </si>
  <si>
    <t>Market Value of Equity</t>
  </si>
  <si>
    <t>Market Value of Debt</t>
  </si>
  <si>
    <t>Total Capital</t>
  </si>
  <si>
    <t>Market Value and Share of Equity and Debt</t>
  </si>
  <si>
    <t>Equity Weight</t>
  </si>
  <si>
    <t>Debt Weight</t>
  </si>
  <si>
    <t>Risk Free Rate</t>
  </si>
  <si>
    <t xml:space="preserve">Beta </t>
  </si>
  <si>
    <t>Market Risk Premium</t>
  </si>
  <si>
    <t>Grant Thornton Bharat – Equity Risk Premium Study, March 2025</t>
  </si>
  <si>
    <t>Cost of Equity using CAPM</t>
  </si>
  <si>
    <t>India 10Y Bond Yield 6.75 (Trdae Economices)</t>
  </si>
  <si>
    <t>Cost of Equity</t>
  </si>
  <si>
    <t>Cost of Debt</t>
  </si>
  <si>
    <t>Equity Capital</t>
  </si>
  <si>
    <t>Trade receivables</t>
  </si>
  <si>
    <t>Relevant Debt as on Mar-25</t>
  </si>
  <si>
    <t>Average Debt</t>
  </si>
  <si>
    <t xml:space="preserve">Pre- Tax Cost of Debt </t>
  </si>
  <si>
    <t>After Tax Cost of Debt</t>
  </si>
  <si>
    <t>Kd​(1−T)</t>
  </si>
  <si>
    <r>
      <t xml:space="preserve">Kd​ = Pre-tax Cost of Debt = </t>
    </r>
    <r>
      <rPr>
        <b/>
        <sz val="11"/>
        <color theme="1"/>
        <rFont val="Calibri"/>
        <family val="2"/>
        <scheme val="minor"/>
      </rPr>
      <t>15.33%</t>
    </r>
  </si>
  <si>
    <t>T = Tax Rate</t>
  </si>
  <si>
    <t>WACC</t>
  </si>
  <si>
    <r>
      <t>E/V</t>
    </r>
    <r>
      <rPr>
        <sz val="11"/>
        <color theme="1"/>
        <rFont val="Calibri"/>
        <family val="2"/>
        <scheme val="minor"/>
      </rPr>
      <t xml:space="preserve"> = Equity Weight</t>
    </r>
  </si>
  <si>
    <r>
      <t>Ke</t>
    </r>
    <r>
      <rPr>
        <sz val="11"/>
        <color theme="1"/>
        <rFont val="Calibri"/>
        <family val="2"/>
        <scheme val="minor"/>
      </rPr>
      <t xml:space="preserve"> = Cost of Equity</t>
    </r>
  </si>
  <si>
    <r>
      <t>D/V</t>
    </r>
    <r>
      <rPr>
        <sz val="11"/>
        <color theme="1"/>
        <rFont val="Calibri"/>
        <family val="2"/>
        <scheme val="minor"/>
      </rPr>
      <t xml:space="preserve"> = Debt Weight</t>
    </r>
  </si>
  <si>
    <r>
      <t>Kd</t>
    </r>
    <r>
      <rPr>
        <sz val="11"/>
        <color theme="1"/>
        <rFont val="Calibri"/>
        <family val="2"/>
        <scheme val="minor"/>
      </rPr>
      <t xml:space="preserve"> = Pre-tax Cost of Debt</t>
    </r>
  </si>
  <si>
    <r>
      <t>T</t>
    </r>
    <r>
      <rPr>
        <sz val="11"/>
        <color theme="1"/>
        <rFont val="Calibri"/>
        <family val="2"/>
        <scheme val="minor"/>
      </rPr>
      <t xml:space="preserve"> = Tax Rate</t>
    </r>
  </si>
  <si>
    <t>Present Value of FCFF</t>
  </si>
  <si>
    <t>Present Value of forecasted FCFF</t>
  </si>
  <si>
    <t>Terminal Value</t>
  </si>
  <si>
    <t>g = perpetual growth rate</t>
  </si>
  <si>
    <t>PV=(FCFF)/(1+WACC)n</t>
  </si>
  <si>
    <t>Perpetual growth rate (g)</t>
  </si>
  <si>
    <t>FCFF2031</t>
  </si>
  <si>
    <t>Enterprise Value</t>
  </si>
  <si>
    <t>Present Value of Terminal Value</t>
  </si>
  <si>
    <t>Equity Value</t>
  </si>
  <si>
    <t>Equity value per share</t>
  </si>
  <si>
    <t>WACC =</t>
  </si>
  <si>
    <t>Number of shares</t>
  </si>
  <si>
    <t>Face Value</t>
  </si>
  <si>
    <t>Market Capitalization</t>
  </si>
  <si>
    <t>Twice a year- Nov &amp; Jun</t>
  </si>
  <si>
    <t>Company : Asian Paints Limited</t>
  </si>
  <si>
    <t>(5y monthly) 0.29 according to Yahoo Finance</t>
  </si>
  <si>
    <t>Interest Expense on Mar-26</t>
  </si>
  <si>
    <t>Relevant Debt as on Mar-26</t>
  </si>
  <si>
    <r>
      <t xml:space="preserve">Terminal growth should represent </t>
    </r>
    <r>
      <rPr>
        <b/>
        <sz val="11"/>
        <color theme="1"/>
        <rFont val="Calibri"/>
        <family val="2"/>
        <scheme val="minor"/>
      </rPr>
      <t>long-term sustainable growth</t>
    </r>
    <r>
      <rPr>
        <sz val="11"/>
        <color theme="1"/>
        <rFont val="Calibri"/>
        <family val="2"/>
        <scheme val="minor"/>
      </rPr>
      <t xml:space="preserve">, not the company's temporary high-growth period.For a mature company, we'd normally want a conservative long-term rate, generally below the economy's long-term nominal growth and, most importantly: </t>
    </r>
    <r>
      <rPr>
        <b/>
        <sz val="11"/>
        <color theme="1"/>
        <rFont val="Calibri"/>
        <family val="2"/>
        <scheme val="minor"/>
      </rPr>
      <t>g&lt;WACC</t>
    </r>
  </si>
  <si>
    <t>"=FCFF2032/WACC-g"</t>
  </si>
  <si>
    <t>Numbers of Shares</t>
  </si>
  <si>
    <r>
      <t>FCFF 2032</t>
    </r>
    <r>
      <rPr>
        <sz val="11"/>
        <color theme="1"/>
        <rFont val="Calibri"/>
        <family val="2"/>
        <scheme val="minor"/>
      </rPr>
      <t xml:space="preserve"> = Mar-31 FCFF grown one more year</t>
    </r>
  </si>
  <si>
    <t>WACC =8.65%</t>
  </si>
  <si>
    <r>
      <t xml:space="preserve">FCFFn​ = FCFF in our final forecast year, </t>
    </r>
    <r>
      <rPr>
        <b/>
        <sz val="11"/>
        <color theme="1"/>
        <rFont val="Calibri"/>
        <family val="2"/>
        <scheme val="minor"/>
      </rPr>
      <t>Mar-31</t>
    </r>
  </si>
  <si>
    <r>
      <t xml:space="preserve">FCFFn+1​ = FCFF in the following year, </t>
    </r>
    <r>
      <rPr>
        <b/>
        <sz val="11"/>
        <color theme="1"/>
        <rFont val="Calibri"/>
        <family val="2"/>
        <scheme val="minor"/>
      </rPr>
      <t>Mar-32</t>
    </r>
  </si>
  <si>
    <t>Current Price (₹)</t>
  </si>
  <si>
    <t>Dividend frequency</t>
  </si>
  <si>
    <t>Book value (₹)</t>
  </si>
  <si>
    <t>Revenue</t>
  </si>
  <si>
    <t>Present Value of TV</t>
  </si>
  <si>
    <t>Equity Value Per Share</t>
  </si>
  <si>
    <t xml:space="preserve"> (As per historical data and Yahoo finance)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</si>
</sst>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[$-409]mmm\-yy;@"/>
    <numFmt numFmtId="166" formatCode="0.0"/>
    <numFmt numFmtId="168" formatCode="#,##0.0;\(#,##0.0\)"/>
    <numFmt numFmtId="170" formatCode="#,##0.0_);\(#,##0.0\)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8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CC00"/>
      <name val="Calibri"/>
      <family val="2"/>
      <scheme val="minor"/>
    </font>
    <font>
      <sz val="11"/>
      <color rgb="FF0099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12529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99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606F7B"/>
      <name val="Arial"/>
      <family val="2"/>
    </font>
    <font>
      <b/>
      <sz val="11"/>
      <color rgb="FF008000"/>
      <name val="Calibri"/>
      <family val="2"/>
      <scheme val="minor"/>
    </font>
    <font>
      <b/>
      <sz val="16"/>
      <color theme="1"/>
      <name val="Arial Black"/>
      <family val="2"/>
    </font>
    <font>
      <sz val="11"/>
      <color theme="1"/>
      <name val="Arial Black"/>
      <family val="2"/>
    </font>
    <font>
      <b/>
      <sz val="11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FC65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rgb="FFDBE4F0"/>
      </top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7">
    <xf numFmtId="0" fontId="0" fillId="0" borderId="0" xfId="0"/>
    <xf numFmtId="0" fontId="0" fillId="0" borderId="0" xfId="0" applyBorder="1"/>
    <xf numFmtId="164" fontId="1" fillId="0" borderId="0" xfId="1" applyFont="1" applyBorder="1" applyAlignment="1">
      <alignment horizontal="center"/>
    </xf>
    <xf numFmtId="164" fontId="0" fillId="0" borderId="0" xfId="1" applyFont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164" fontId="3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left"/>
    </xf>
    <xf numFmtId="164" fontId="0" fillId="0" borderId="0" xfId="1" applyFont="1" applyBorder="1" applyAlignment="1">
      <alignment horizontal="left"/>
    </xf>
    <xf numFmtId="165" fontId="2" fillId="2" borderId="0" xfId="1" applyNumberFormat="1" applyFont="1" applyFill="1" applyBorder="1" applyAlignment="1">
      <alignment horizontal="left"/>
    </xf>
    <xf numFmtId="164" fontId="3" fillId="0" borderId="0" xfId="1" applyFont="1" applyBorder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5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2" applyNumberFormat="1" applyFont="1"/>
    <xf numFmtId="164" fontId="8" fillId="3" borderId="0" xfId="1" applyFont="1" applyFill="1" applyBorder="1" applyAlignment="1">
      <alignment horizontal="left"/>
    </xf>
    <xf numFmtId="164" fontId="1" fillId="0" borderId="5" xfId="1" applyFont="1" applyBorder="1" applyAlignment="1">
      <alignment horizontal="left"/>
    </xf>
    <xf numFmtId="164" fontId="3" fillId="0" borderId="0" xfId="1" applyFont="1" applyBorder="1" applyAlignment="1">
      <alignment horizontal="right"/>
    </xf>
    <xf numFmtId="165" fontId="0" fillId="0" borderId="0" xfId="0" applyNumberFormat="1"/>
    <xf numFmtId="0" fontId="0" fillId="0" borderId="0" xfId="0" applyFill="1"/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 applyProtection="1">
      <alignment horizont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164" fontId="0" fillId="0" borderId="0" xfId="1" applyFont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1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0" xfId="0" applyFont="1"/>
    <xf numFmtId="10" fontId="0" fillId="0" borderId="0" xfId="0" applyNumberFormat="1" applyAlignment="1">
      <alignment horizontal="right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164" fontId="9" fillId="0" borderId="0" xfId="1" applyFont="1" applyBorder="1" applyAlignment="1"/>
    <xf numFmtId="168" fontId="11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13" fillId="0" borderId="0" xfId="0" applyNumberFormat="1" applyFont="1" applyAlignment="1">
      <alignment horizontal="right"/>
    </xf>
    <xf numFmtId="168" fontId="12" fillId="0" borderId="0" xfId="0" applyNumberFormat="1" applyFont="1" applyAlignment="1">
      <alignment horizontal="right"/>
    </xf>
    <xf numFmtId="168" fontId="0" fillId="0" borderId="6" xfId="0" applyNumberFormat="1" applyBorder="1" applyAlignment="1">
      <alignment horizontal="right"/>
    </xf>
    <xf numFmtId="10" fontId="0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0" fillId="0" borderId="9" xfId="0" applyBorder="1" applyAlignment="1">
      <alignment horizontal="left" vertical="center"/>
    </xf>
    <xf numFmtId="168" fontId="0" fillId="0" borderId="10" xfId="0" applyNumberFormat="1" applyBorder="1" applyAlignment="1">
      <alignment horizontal="right"/>
    </xf>
    <xf numFmtId="168" fontId="0" fillId="0" borderId="11" xfId="0" applyNumberFormat="1" applyBorder="1" applyAlignment="1">
      <alignment horizontal="right"/>
    </xf>
    <xf numFmtId="165" fontId="2" fillId="2" borderId="0" xfId="0" applyNumberFormat="1" applyFont="1" applyFill="1" applyBorder="1" applyAlignment="1">
      <alignment horizontal="right"/>
    </xf>
    <xf numFmtId="0" fontId="4" fillId="0" borderId="0" xfId="0" applyFont="1"/>
    <xf numFmtId="164" fontId="8" fillId="0" borderId="0" xfId="1" applyFont="1" applyFill="1" applyBorder="1" applyAlignment="1">
      <alignment horizontal="left"/>
    </xf>
    <xf numFmtId="0" fontId="0" fillId="5" borderId="13" xfId="0" applyFill="1" applyBorder="1"/>
    <xf numFmtId="168" fontId="13" fillId="5" borderId="6" xfId="0" applyNumberFormat="1" applyFont="1" applyFill="1" applyBorder="1" applyAlignment="1">
      <alignment horizontal="right"/>
    </xf>
    <xf numFmtId="0" fontId="0" fillId="5" borderId="15" xfId="0" applyFill="1" applyBorder="1"/>
    <xf numFmtId="0" fontId="0" fillId="5" borderId="0" xfId="0" applyFill="1" applyBorder="1"/>
    <xf numFmtId="10" fontId="0" fillId="5" borderId="0" xfId="0" applyNumberFormat="1" applyFill="1" applyBorder="1"/>
    <xf numFmtId="0" fontId="0" fillId="5" borderId="17" xfId="0" applyFill="1" applyBorder="1"/>
    <xf numFmtId="168" fontId="0" fillId="5" borderId="18" xfId="0" applyNumberFormat="1" applyFill="1" applyBorder="1" applyAlignment="1">
      <alignment horizontal="right"/>
    </xf>
    <xf numFmtId="0" fontId="0" fillId="4" borderId="9" xfId="0" applyFill="1" applyBorder="1"/>
    <xf numFmtId="0" fontId="0" fillId="4" borderId="11" xfId="0" applyFill="1" applyBorder="1"/>
    <xf numFmtId="0" fontId="0" fillId="4" borderId="13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Fill="1" applyBorder="1"/>
    <xf numFmtId="168" fontId="15" fillId="0" borderId="0" xfId="0" applyNumberFormat="1" applyFont="1" applyBorder="1" applyAlignment="1">
      <alignment horizontal="right"/>
    </xf>
    <xf numFmtId="168" fontId="15" fillId="0" borderId="16" xfId="0" applyNumberFormat="1" applyFont="1" applyBorder="1" applyAlignment="1">
      <alignment horizontal="right"/>
    </xf>
    <xf numFmtId="0" fontId="0" fillId="0" borderId="15" xfId="0" applyBorder="1"/>
    <xf numFmtId="0" fontId="0" fillId="0" borderId="0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5" xfId="0" applyBorder="1" applyAlignment="1">
      <alignment horizontal="left"/>
    </xf>
    <xf numFmtId="170" fontId="0" fillId="0" borderId="0" xfId="0" applyNumberForma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0" fillId="0" borderId="16" xfId="0" applyBorder="1"/>
    <xf numFmtId="10" fontId="0" fillId="0" borderId="0" xfId="2" applyNumberFormat="1" applyFont="1" applyBorder="1"/>
    <xf numFmtId="10" fontId="0" fillId="0" borderId="0" xfId="0" applyNumberFormat="1" applyBorder="1"/>
    <xf numFmtId="0" fontId="0" fillId="0" borderId="17" xfId="0" applyBorder="1"/>
    <xf numFmtId="170" fontId="0" fillId="0" borderId="18" xfId="0" applyNumberFormat="1" applyBorder="1" applyAlignment="1">
      <alignment horizontal="right"/>
    </xf>
    <xf numFmtId="0" fontId="0" fillId="0" borderId="19" xfId="0" applyBorder="1"/>
    <xf numFmtId="170" fontId="0" fillId="0" borderId="18" xfId="0" applyNumberFormat="1" applyBorder="1"/>
    <xf numFmtId="0" fontId="0" fillId="0" borderId="0" xfId="0" applyAlignment="1">
      <alignment vertical="top" wrapText="1"/>
    </xf>
    <xf numFmtId="0" fontId="1" fillId="0" borderId="12" xfId="0" applyFont="1" applyBorder="1"/>
    <xf numFmtId="0" fontId="1" fillId="0" borderId="0" xfId="0" applyFont="1" applyBorder="1"/>
    <xf numFmtId="165" fontId="1" fillId="0" borderId="20" xfId="0" applyNumberFormat="1" applyFont="1" applyBorder="1" applyAlignment="1">
      <alignment horizontal="center"/>
    </xf>
    <xf numFmtId="10" fontId="5" fillId="0" borderId="0" xfId="2" applyNumberFormat="1" applyFont="1" applyAlignment="1">
      <alignment horizontal="right"/>
    </xf>
    <xf numFmtId="2" fontId="1" fillId="0" borderId="8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10" fontId="1" fillId="0" borderId="0" xfId="2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0" fillId="0" borderId="0" xfId="0" applyAlignment="1">
      <alignment horizontal="right" vertical="top" wrapText="1"/>
    </xf>
    <xf numFmtId="164" fontId="1" fillId="0" borderId="3" xfId="1" applyFont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168" fontId="0" fillId="0" borderId="0" xfId="0" applyNumberFormat="1" applyBorder="1" applyAlignment="1">
      <alignment horizontal="right"/>
    </xf>
    <xf numFmtId="0" fontId="0" fillId="0" borderId="21" xfId="0" applyFill="1" applyBorder="1" applyAlignment="1">
      <alignment horizontal="left" vertical="center"/>
    </xf>
    <xf numFmtId="168" fontId="0" fillId="0" borderId="21" xfId="0" applyNumberFormat="1" applyBorder="1"/>
    <xf numFmtId="0" fontId="0" fillId="0" borderId="15" xfId="0" applyBorder="1" applyAlignment="1">
      <alignment horizontal="left" vertical="center"/>
    </xf>
    <xf numFmtId="10" fontId="15" fillId="0" borderId="0" xfId="0" applyNumberFormat="1" applyFont="1" applyBorder="1" applyAlignment="1">
      <alignment horizontal="right"/>
    </xf>
    <xf numFmtId="10" fontId="15" fillId="0" borderId="16" xfId="0" applyNumberFormat="1" applyFont="1" applyBorder="1" applyAlignment="1">
      <alignment horizontal="right"/>
    </xf>
    <xf numFmtId="168" fontId="15" fillId="0" borderId="6" xfId="0" applyNumberFormat="1" applyFont="1" applyBorder="1" applyAlignment="1">
      <alignment horizontal="right"/>
    </xf>
    <xf numFmtId="168" fontId="15" fillId="0" borderId="14" xfId="0" applyNumberFormat="1" applyFont="1" applyBorder="1" applyAlignment="1">
      <alignment horizontal="right"/>
    </xf>
    <xf numFmtId="0" fontId="1" fillId="6" borderId="0" xfId="0" applyFont="1" applyFill="1" applyBorder="1" applyAlignment="1">
      <alignment horizontal="left" vertical="center"/>
    </xf>
    <xf numFmtId="0" fontId="1" fillId="6" borderId="0" xfId="0" applyFont="1" applyFill="1"/>
    <xf numFmtId="10" fontId="0" fillId="0" borderId="0" xfId="2" applyNumberFormat="1" applyFont="1"/>
    <xf numFmtId="10" fontId="11" fillId="0" borderId="0" xfId="0" applyNumberFormat="1" applyFont="1" applyBorder="1"/>
    <xf numFmtId="0" fontId="11" fillId="0" borderId="0" xfId="0" applyFont="1"/>
    <xf numFmtId="0" fontId="0" fillId="0" borderId="6" xfId="0" applyBorder="1"/>
    <xf numFmtId="0" fontId="17" fillId="0" borderId="13" xfId="0" applyFont="1" applyBorder="1"/>
    <xf numFmtId="0" fontId="0" fillId="0" borderId="18" xfId="0" applyBorder="1"/>
    <xf numFmtId="0" fontId="0" fillId="0" borderId="21" xfId="0" applyBorder="1"/>
    <xf numFmtId="0" fontId="0" fillId="7" borderId="13" xfId="0" applyFill="1" applyBorder="1"/>
    <xf numFmtId="0" fontId="0" fillId="7" borderId="14" xfId="0" applyFill="1" applyBorder="1"/>
    <xf numFmtId="0" fontId="0" fillId="7" borderId="0" xfId="0" applyFill="1"/>
    <xf numFmtId="0" fontId="18" fillId="0" borderId="0" xfId="0" applyFont="1"/>
    <xf numFmtId="0" fontId="19" fillId="0" borderId="0" xfId="0" applyFont="1"/>
    <xf numFmtId="0" fontId="18" fillId="0" borderId="0" xfId="0" applyFont="1" applyAlignment="1"/>
    <xf numFmtId="168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8" fillId="0" borderId="21" xfId="0" applyFont="1" applyBorder="1" applyAlignment="1"/>
    <xf numFmtId="10" fontId="0" fillId="0" borderId="22" xfId="2" applyNumberFormat="1" applyFont="1" applyBorder="1"/>
    <xf numFmtId="10" fontId="4" fillId="0" borderId="21" xfId="0" applyNumberFormat="1" applyFont="1" applyBorder="1"/>
    <xf numFmtId="0" fontId="1" fillId="0" borderId="13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10" fontId="0" fillId="7" borderId="0" xfId="2" applyNumberFormat="1" applyFont="1" applyFill="1"/>
    <xf numFmtId="0" fontId="0" fillId="0" borderId="0" xfId="0" applyBorder="1" applyAlignment="1">
      <alignment horizontal="left" vertical="center"/>
    </xf>
    <xf numFmtId="168" fontId="0" fillId="0" borderId="12" xfId="0" applyNumberFormat="1" applyBorder="1" applyAlignment="1">
      <alignment horizontal="right"/>
    </xf>
    <xf numFmtId="0" fontId="1" fillId="7" borderId="12" xfId="0" applyFont="1" applyFill="1" applyBorder="1"/>
    <xf numFmtId="0" fontId="1" fillId="7" borderId="0" xfId="0" applyFont="1" applyFill="1"/>
    <xf numFmtId="0" fontId="20" fillId="0" borderId="9" xfId="0" applyFont="1" applyBorder="1"/>
    <xf numFmtId="0" fontId="1" fillId="0" borderId="13" xfId="0" applyFont="1" applyBorder="1"/>
    <xf numFmtId="0" fontId="1" fillId="0" borderId="18" xfId="0" applyFont="1" applyBorder="1"/>
    <xf numFmtId="0" fontId="1" fillId="7" borderId="9" xfId="0" applyFont="1" applyFill="1" applyBorder="1" applyAlignment="1">
      <alignment horizontal="left" vertical="center"/>
    </xf>
    <xf numFmtId="0" fontId="20" fillId="7" borderId="12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0" fillId="0" borderId="9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4" borderId="12" xfId="0" applyFont="1" applyFill="1" applyBorder="1"/>
    <xf numFmtId="0" fontId="1" fillId="4" borderId="0" xfId="0" applyFont="1" applyFill="1" applyBorder="1"/>
    <xf numFmtId="0" fontId="1" fillId="0" borderId="0" xfId="0" applyFont="1" applyFill="1" applyBorder="1"/>
    <xf numFmtId="168" fontId="0" fillId="8" borderId="0" xfId="0" applyNumberFormat="1" applyFill="1" applyBorder="1" applyAlignment="1">
      <alignment horizontal="right"/>
    </xf>
    <xf numFmtId="0" fontId="1" fillId="4" borderId="3" xfId="0" applyFont="1" applyFill="1" applyBorder="1"/>
    <xf numFmtId="168" fontId="1" fillId="0" borderId="5" xfId="0" applyNumberFormat="1" applyFont="1" applyBorder="1" applyAlignment="1">
      <alignment horizontal="right"/>
    </xf>
    <xf numFmtId="168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10" fontId="0" fillId="0" borderId="21" xfId="2" applyNumberFormat="1" applyFont="1" applyBorder="1" applyAlignment="1">
      <alignment horizontal="right"/>
    </xf>
    <xf numFmtId="164" fontId="1" fillId="10" borderId="0" xfId="1" applyFont="1" applyFill="1" applyBorder="1" applyAlignment="1">
      <alignment horizontal="left"/>
    </xf>
    <xf numFmtId="164" fontId="1" fillId="10" borderId="0" xfId="1" applyFont="1" applyFill="1" applyBorder="1" applyAlignment="1">
      <alignment horizontal="right"/>
    </xf>
    <xf numFmtId="0" fontId="19" fillId="0" borderId="0" xfId="0" applyFont="1" applyBorder="1" applyAlignment="1">
      <alignment horizontal="center" vertical="top"/>
    </xf>
    <xf numFmtId="165" fontId="1" fillId="11" borderId="0" xfId="0" applyNumberFormat="1" applyFont="1" applyFill="1" applyBorder="1" applyAlignment="1">
      <alignment horizontal="right"/>
    </xf>
    <xf numFmtId="0" fontId="19" fillId="0" borderId="21" xfId="0" applyFont="1" applyBorder="1"/>
    <xf numFmtId="168" fontId="1" fillId="0" borderId="21" xfId="0" applyNumberFormat="1" applyFont="1" applyBorder="1" applyAlignment="1">
      <alignment horizontal="right"/>
    </xf>
    <xf numFmtId="165" fontId="0" fillId="0" borderId="0" xfId="0" applyNumberFormat="1" applyFill="1" applyBorder="1" applyAlignment="1">
      <alignment horizontal="center"/>
    </xf>
    <xf numFmtId="168" fontId="13" fillId="0" borderId="0" xfId="0" applyNumberFormat="1" applyFont="1" applyFill="1" applyBorder="1" applyAlignment="1">
      <alignment horizontal="right"/>
    </xf>
    <xf numFmtId="0" fontId="0" fillId="0" borderId="0" xfId="0" applyFill="1" applyBorder="1"/>
    <xf numFmtId="10" fontId="0" fillId="0" borderId="0" xfId="0" applyNumberFormat="1" applyFill="1" applyBorder="1"/>
    <xf numFmtId="168" fontId="0" fillId="0" borderId="0" xfId="0" applyNumberFormat="1" applyFill="1" applyBorder="1" applyAlignment="1">
      <alignment horizontal="right"/>
    </xf>
    <xf numFmtId="168" fontId="15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70" fontId="0" fillId="0" borderId="0" xfId="0" applyNumberFormat="1" applyFill="1" applyBorder="1" applyAlignment="1">
      <alignment horizontal="right"/>
    </xf>
    <xf numFmtId="10" fontId="0" fillId="0" borderId="0" xfId="2" applyNumberFormat="1" applyFont="1" applyFill="1" applyBorder="1"/>
    <xf numFmtId="168" fontId="23" fillId="0" borderId="0" xfId="0" applyNumberFormat="1" applyFont="1" applyAlignment="1">
      <alignment horizontal="right"/>
    </xf>
    <xf numFmtId="0" fontId="1" fillId="11" borderId="0" xfId="0" applyFont="1" applyFill="1" applyBorder="1" applyAlignment="1">
      <alignment horizontal="center"/>
    </xf>
    <xf numFmtId="10" fontId="24" fillId="10" borderId="0" xfId="2" applyNumberFormat="1" applyFont="1" applyFill="1" applyBorder="1" applyAlignment="1"/>
    <xf numFmtId="0" fontId="25" fillId="13" borderId="24" xfId="0" applyFont="1" applyFill="1" applyBorder="1" applyAlignment="1">
      <alignment horizontal="right" vertical="center" wrapText="1"/>
    </xf>
    <xf numFmtId="3" fontId="22" fillId="12" borderId="23" xfId="0" applyNumberFormat="1" applyFont="1" applyFill="1" applyBorder="1" applyAlignment="1">
      <alignment horizontal="right" vertical="center" wrapText="1"/>
    </xf>
    <xf numFmtId="0" fontId="21" fillId="12" borderId="0" xfId="0" applyFont="1" applyFill="1" applyAlignment="1">
      <alignment horizontal="right" vertical="center" wrapText="1"/>
    </xf>
    <xf numFmtId="3" fontId="22" fillId="13" borderId="23" xfId="0" applyNumberFormat="1" applyFont="1" applyFill="1" applyBorder="1" applyAlignment="1">
      <alignment horizontal="right" vertical="center" wrapText="1"/>
    </xf>
    <xf numFmtId="0" fontId="21" fillId="13" borderId="0" xfId="0" applyFont="1" applyFill="1" applyAlignment="1">
      <alignment horizontal="right" vertical="center" wrapText="1"/>
    </xf>
    <xf numFmtId="9" fontId="21" fillId="13" borderId="0" xfId="0" applyNumberFormat="1" applyFont="1" applyFill="1" applyAlignment="1">
      <alignment horizontal="right" vertical="center" wrapText="1"/>
    </xf>
    <xf numFmtId="3" fontId="21" fillId="12" borderId="0" xfId="0" applyNumberFormat="1" applyFont="1" applyFill="1" applyAlignment="1">
      <alignment horizontal="right" vertical="center" wrapText="1"/>
    </xf>
    <xf numFmtId="3" fontId="21" fillId="13" borderId="0" xfId="0" applyNumberFormat="1" applyFont="1" applyFill="1" applyAlignment="1">
      <alignment horizontal="right" vertical="center" wrapText="1"/>
    </xf>
    <xf numFmtId="164" fontId="0" fillId="0" borderId="0" xfId="1" applyFont="1" applyFill="1" applyBorder="1" applyAlignment="1">
      <alignment horizontal="center"/>
    </xf>
    <xf numFmtId="164" fontId="3" fillId="0" borderId="0" xfId="1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2" fontId="26" fillId="0" borderId="8" xfId="0" applyNumberFormat="1" applyFont="1" applyBorder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0" fontId="11" fillId="7" borderId="0" xfId="2" applyNumberFormat="1" applyFont="1" applyFill="1"/>
    <xf numFmtId="10" fontId="13" fillId="0" borderId="0" xfId="0" applyNumberFormat="1" applyFont="1"/>
    <xf numFmtId="10" fontId="23" fillId="0" borderId="0" xfId="0" applyNumberFormat="1" applyFont="1"/>
    <xf numFmtId="164" fontId="24" fillId="10" borderId="0" xfId="1" applyFont="1" applyFill="1" applyBorder="1" applyAlignment="1">
      <alignment horizontal="left"/>
    </xf>
    <xf numFmtId="164" fontId="11" fillId="0" borderId="4" xfId="1" applyFont="1" applyBorder="1"/>
    <xf numFmtId="164" fontId="1" fillId="10" borderId="0" xfId="1" applyFont="1" applyFill="1" applyBorder="1" applyAlignment="1">
      <alignment horizontal="centerContinuous" vertical="top"/>
    </xf>
    <xf numFmtId="164" fontId="27" fillId="10" borderId="0" xfId="1" applyFont="1" applyFill="1" applyBorder="1" applyAlignment="1">
      <alignment horizontal="centerContinuous" vertical="center"/>
    </xf>
    <xf numFmtId="164" fontId="28" fillId="10" borderId="0" xfId="1" applyFont="1" applyFill="1" applyBorder="1" applyAlignment="1">
      <alignment horizontal="centerContinuous" vertical="top"/>
    </xf>
    <xf numFmtId="164" fontId="29" fillId="10" borderId="0" xfId="1" applyFont="1" applyFill="1" applyBorder="1" applyAlignment="1">
      <alignment horizontal="centerContinuous" vertical="top"/>
    </xf>
    <xf numFmtId="0" fontId="0" fillId="0" borderId="3" xfId="0" applyBorder="1" applyAlignment="1">
      <alignment horizontal="centerContinuous" vertical="justify"/>
    </xf>
    <xf numFmtId="0" fontId="0" fillId="0" borderId="4" xfId="0" applyBorder="1" applyAlignment="1">
      <alignment horizontal="centerContinuous" vertical="justify"/>
    </xf>
    <xf numFmtId="0" fontId="0" fillId="0" borderId="5" xfId="0" applyBorder="1" applyAlignment="1">
      <alignment horizontal="centerContinuous" vertical="justify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21" xfId="0" applyFont="1" applyBorder="1" applyAlignment="1">
      <alignment horizontal="left"/>
    </xf>
    <xf numFmtId="168" fontId="15" fillId="0" borderId="0" xfId="0" applyNumberFormat="1" applyFont="1"/>
    <xf numFmtId="0" fontId="1" fillId="11" borderId="2" xfId="0" applyFont="1" applyFill="1" applyBorder="1"/>
    <xf numFmtId="165" fontId="1" fillId="11" borderId="25" xfId="0" applyNumberFormat="1" applyFont="1" applyFill="1" applyBorder="1" applyAlignment="1">
      <alignment horizontal="right"/>
    </xf>
    <xf numFmtId="165" fontId="1" fillId="11" borderId="26" xfId="0" applyNumberFormat="1" applyFont="1" applyFill="1" applyBorder="1" applyAlignment="1">
      <alignment horizontal="right"/>
    </xf>
    <xf numFmtId="0" fontId="0" fillId="0" borderId="27" xfId="0" applyBorder="1"/>
    <xf numFmtId="168" fontId="15" fillId="0" borderId="0" xfId="0" applyNumberFormat="1" applyFont="1" applyBorder="1"/>
    <xf numFmtId="168" fontId="15" fillId="0" borderId="28" xfId="0" applyNumberFormat="1" applyFont="1" applyBorder="1"/>
    <xf numFmtId="0" fontId="0" fillId="0" borderId="29" xfId="0" applyBorder="1"/>
    <xf numFmtId="168" fontId="15" fillId="0" borderId="1" xfId="0" applyNumberFormat="1" applyFont="1" applyBorder="1"/>
    <xf numFmtId="168" fontId="15" fillId="0" borderId="30" xfId="0" applyNumberFormat="1" applyFont="1" applyBorder="1"/>
    <xf numFmtId="0" fontId="0" fillId="0" borderId="2" xfId="0" applyBorder="1"/>
    <xf numFmtId="168" fontId="15" fillId="0" borderId="26" xfId="0" applyNumberFormat="1" applyFont="1" applyBorder="1"/>
    <xf numFmtId="168" fontId="4" fillId="0" borderId="0" xfId="0" applyNumberFormat="1" applyFont="1" applyAlignment="1">
      <alignment horizontal="right"/>
    </xf>
    <xf numFmtId="0" fontId="16" fillId="6" borderId="31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center" vertical="center"/>
    </xf>
    <xf numFmtId="165" fontId="1" fillId="11" borderId="4" xfId="0" applyNumberFormat="1" applyFont="1" applyFill="1" applyBorder="1" applyAlignment="1">
      <alignment horizontal="right"/>
    </xf>
    <xf numFmtId="165" fontId="1" fillId="11" borderId="5" xfId="0" applyNumberFormat="1" applyFont="1" applyFill="1" applyBorder="1" applyAlignment="1">
      <alignment horizontal="right"/>
    </xf>
    <xf numFmtId="0" fontId="24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AFC65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AFC65A"/>
        </patternFill>
      </fill>
    </dxf>
  </dxfs>
  <tableStyles count="0" defaultTableStyle="TableStyleMedium9" defaultPivotStyle="PivotStyleLight16"/>
  <colors>
    <mruColors>
      <color rgb="FF0000FF"/>
      <color rgb="FF008000"/>
      <color rgb="FF009900"/>
      <color rgb="FF00CC00"/>
      <color rgb="FFAFC65A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2"/>
  <sheetViews>
    <sheetView showGridLines="0" tabSelected="1" zoomScale="70" zoomScaleNormal="70" zoomScalePageLayoutView="120" workbookViewId="0">
      <selection activeCell="I11" sqref="I11"/>
    </sheetView>
  </sheetViews>
  <sheetFormatPr defaultColWidth="8.77734375" defaultRowHeight="14.4" x14ac:dyDescent="0.3"/>
  <cols>
    <col min="1" max="1" width="31.77734375" style="8" bestFit="1" customWidth="1"/>
    <col min="2" max="4" width="13.44140625" style="3" bestFit="1" customWidth="1"/>
    <col min="5" max="5" width="13.44140625" style="3" customWidth="1"/>
    <col min="6" max="6" width="13.44140625" style="3" bestFit="1" customWidth="1"/>
    <col min="7" max="7" width="8.77734375" style="3"/>
    <col min="8" max="8" width="24.88671875" style="3" bestFit="1" customWidth="1"/>
    <col min="9" max="16384" width="8.77734375" style="3"/>
  </cols>
  <sheetData>
    <row r="1" spans="1:14" s="2" customFormat="1" ht="23.4" customHeight="1" thickBot="1" x14ac:dyDescent="0.35">
      <c r="A1" s="195" t="s">
        <v>196</v>
      </c>
      <c r="B1" s="196"/>
      <c r="C1" s="197"/>
      <c r="D1" s="197"/>
      <c r="E1" s="194"/>
      <c r="F1" s="194"/>
    </row>
    <row r="2" spans="1:14" ht="15" thickBot="1" x14ac:dyDescent="0.35">
      <c r="A2" s="89" t="s">
        <v>192</v>
      </c>
      <c r="B2" s="193">
        <v>95.92</v>
      </c>
      <c r="C2" s="20" t="s">
        <v>86</v>
      </c>
      <c r="E2" s="156" t="s">
        <v>209</v>
      </c>
      <c r="F2" s="192">
        <v>223</v>
      </c>
    </row>
    <row r="3" spans="1:14" x14ac:dyDescent="0.3">
      <c r="A3" s="7" t="s">
        <v>193</v>
      </c>
      <c r="B3" s="37" t="s">
        <v>33</v>
      </c>
      <c r="C3" s="2"/>
    </row>
    <row r="4" spans="1:14" x14ac:dyDescent="0.3">
      <c r="A4" s="7" t="s">
        <v>207</v>
      </c>
      <c r="B4" s="37">
        <v>2640</v>
      </c>
      <c r="C4" s="2"/>
      <c r="E4" s="2"/>
      <c r="F4" s="2"/>
    </row>
    <row r="5" spans="1:14" x14ac:dyDescent="0.3">
      <c r="A5" s="7" t="s">
        <v>194</v>
      </c>
      <c r="B5" s="38">
        <f>(B2*B4)</f>
        <v>253228.80000000002</v>
      </c>
      <c r="C5" s="7"/>
      <c r="E5" s="2"/>
      <c r="F5" s="2"/>
    </row>
    <row r="6" spans="1:14" x14ac:dyDescent="0.3">
      <c r="A6" s="156" t="s">
        <v>208</v>
      </c>
      <c r="B6" s="156" t="s">
        <v>195</v>
      </c>
      <c r="C6" s="156"/>
      <c r="D6" s="157" t="s">
        <v>89</v>
      </c>
      <c r="E6" s="157"/>
      <c r="F6" s="173">
        <v>9.4999999999999998E-3</v>
      </c>
    </row>
    <row r="8" spans="1:14" x14ac:dyDescent="0.3">
      <c r="K8" s="182"/>
      <c r="L8" s="182"/>
      <c r="M8" s="182"/>
      <c r="N8" s="182"/>
    </row>
    <row r="9" spans="1:14" x14ac:dyDescent="0.3">
      <c r="A9" s="19" t="s">
        <v>13</v>
      </c>
      <c r="F9" s="44" t="s">
        <v>147</v>
      </c>
      <c r="K9" s="182"/>
      <c r="L9" s="182"/>
      <c r="M9" s="182"/>
      <c r="N9" s="182"/>
    </row>
    <row r="10" spans="1:14" s="5" customFormat="1" x14ac:dyDescent="0.3">
      <c r="A10" s="9" t="s">
        <v>14</v>
      </c>
      <c r="B10" s="48">
        <v>44651</v>
      </c>
      <c r="C10" s="48">
        <v>45016</v>
      </c>
      <c r="D10" s="48">
        <v>45382</v>
      </c>
      <c r="E10" s="48">
        <v>45747</v>
      </c>
      <c r="F10" s="48">
        <v>46112</v>
      </c>
      <c r="H10" s="3"/>
      <c r="I10" s="3"/>
      <c r="J10" s="3"/>
    </row>
    <row r="11" spans="1:14" s="6" customFormat="1" x14ac:dyDescent="0.3">
      <c r="A11" s="10" t="s">
        <v>0</v>
      </c>
      <c r="B11" s="38">
        <v>29101.279999999999</v>
      </c>
      <c r="C11" s="38">
        <v>34488.589999999997</v>
      </c>
      <c r="D11" s="38">
        <v>35494.730000000003</v>
      </c>
      <c r="E11" s="38">
        <v>33905.620000000003</v>
      </c>
      <c r="F11" s="38">
        <v>35583.54</v>
      </c>
      <c r="H11" s="3"/>
      <c r="I11" s="3"/>
      <c r="J11" s="3"/>
      <c r="K11" s="183"/>
      <c r="L11" s="183"/>
      <c r="M11" s="183"/>
      <c r="N11" s="183"/>
    </row>
    <row r="12" spans="1:14" s="6" customFormat="1" x14ac:dyDescent="0.3">
      <c r="A12" s="8" t="s">
        <v>25</v>
      </c>
      <c r="B12" s="38">
        <v>17123.25</v>
      </c>
      <c r="C12" s="38">
        <v>18985.53</v>
      </c>
      <c r="D12" s="38">
        <v>17410.84</v>
      </c>
      <c r="E12" s="38">
        <v>17504.509999999998</v>
      </c>
      <c r="F12" s="38">
        <v>17142.009999999998</v>
      </c>
      <c r="H12" s="3"/>
      <c r="I12" s="3"/>
      <c r="J12" s="3"/>
      <c r="K12" s="183"/>
      <c r="L12" s="183"/>
      <c r="M12" s="183"/>
      <c r="N12" s="183"/>
    </row>
    <row r="13" spans="1:14" s="6" customFormat="1" x14ac:dyDescent="0.3">
      <c r="A13" s="8" t="s">
        <v>26</v>
      </c>
      <c r="B13" s="38">
        <v>1324.97</v>
      </c>
      <c r="C13" s="38">
        <v>309.73</v>
      </c>
      <c r="D13" s="38">
        <v>-363.8</v>
      </c>
      <c r="E13" s="38">
        <v>205</v>
      </c>
      <c r="F13" s="38">
        <v>-603.67999999999995</v>
      </c>
      <c r="H13" s="3"/>
      <c r="I13" s="3"/>
      <c r="J13" s="3"/>
      <c r="K13" s="183"/>
      <c r="L13" s="183"/>
      <c r="M13" s="183"/>
      <c r="N13" s="183"/>
    </row>
    <row r="14" spans="1:14" s="6" customFormat="1" x14ac:dyDescent="0.3">
      <c r="A14" s="8" t="s">
        <v>27</v>
      </c>
      <c r="B14" s="38">
        <v>117.23</v>
      </c>
      <c r="C14" s="38">
        <v>138.29</v>
      </c>
      <c r="D14" s="38">
        <v>133.25</v>
      </c>
      <c r="E14" s="38">
        <v>148.58000000000001</v>
      </c>
      <c r="F14" s="38">
        <v>167.1</v>
      </c>
      <c r="H14" s="3"/>
      <c r="I14" s="3"/>
      <c r="J14" s="3"/>
      <c r="K14" s="183"/>
      <c r="L14" s="183"/>
      <c r="M14" s="183"/>
      <c r="N14" s="183"/>
    </row>
    <row r="15" spans="1:14" s="6" customFormat="1" x14ac:dyDescent="0.3">
      <c r="A15" s="8" t="s">
        <v>28</v>
      </c>
      <c r="B15" s="38">
        <v>2880.45</v>
      </c>
      <c r="C15" s="38">
        <v>2916.2</v>
      </c>
      <c r="D15" s="38">
        <v>2767.18</v>
      </c>
      <c r="E15" s="38">
        <v>2687.4</v>
      </c>
      <c r="F15" s="38">
        <v>2767.11</v>
      </c>
      <c r="H15" s="3"/>
      <c r="I15" s="3"/>
      <c r="J15" s="3"/>
      <c r="K15" s="183"/>
      <c r="L15" s="183"/>
      <c r="M15" s="183"/>
      <c r="N15" s="183"/>
    </row>
    <row r="16" spans="1:14" s="6" customFormat="1" x14ac:dyDescent="0.3">
      <c r="A16" s="8" t="s">
        <v>29</v>
      </c>
      <c r="B16" s="38">
        <v>1794.61</v>
      </c>
      <c r="C16" s="38">
        <v>2036.41</v>
      </c>
      <c r="D16" s="38">
        <v>2334.92</v>
      </c>
      <c r="E16" s="38">
        <v>2605.7800000000002</v>
      </c>
      <c r="F16" s="38">
        <v>2809.73</v>
      </c>
      <c r="H16" s="3"/>
      <c r="I16" s="3"/>
      <c r="J16" s="3"/>
      <c r="K16" s="183"/>
      <c r="L16" s="183"/>
      <c r="M16" s="183"/>
      <c r="N16" s="183"/>
    </row>
    <row r="17" spans="1:20" s="6" customFormat="1" x14ac:dyDescent="0.3">
      <c r="A17" s="8" t="s">
        <v>30</v>
      </c>
      <c r="B17" s="38">
        <v>2941.98</v>
      </c>
      <c r="C17" s="38">
        <v>3500.84</v>
      </c>
      <c r="D17" s="38">
        <v>3811.86</v>
      </c>
      <c r="E17" s="38">
        <v>3874.94</v>
      </c>
      <c r="F17" s="38">
        <v>4112.07</v>
      </c>
      <c r="H17" s="3"/>
      <c r="I17" s="3"/>
      <c r="J17" s="3"/>
      <c r="K17" s="183"/>
      <c r="L17" s="183"/>
      <c r="M17" s="183"/>
      <c r="N17" s="183"/>
    </row>
    <row r="18" spans="1:20" s="6" customFormat="1" x14ac:dyDescent="0.3">
      <c r="A18" s="8" t="s">
        <v>31</v>
      </c>
      <c r="B18" s="38">
        <v>765.12</v>
      </c>
      <c r="C18" s="38">
        <v>961.21</v>
      </c>
      <c r="D18" s="38">
        <v>1087.9000000000001</v>
      </c>
      <c r="E18" s="38">
        <v>1283.2</v>
      </c>
      <c r="F18" s="38">
        <v>1282.1099999999999</v>
      </c>
      <c r="H18" s="3"/>
      <c r="I18" s="3"/>
      <c r="J18" s="3"/>
      <c r="K18" s="183"/>
      <c r="L18" s="183"/>
      <c r="M18" s="183"/>
      <c r="N18" s="183"/>
    </row>
    <row r="19" spans="1:20" s="6" customFormat="1" x14ac:dyDescent="0.3">
      <c r="A19" s="10" t="s">
        <v>1</v>
      </c>
      <c r="B19" s="38">
        <v>295.88</v>
      </c>
      <c r="C19" s="38">
        <v>431.46</v>
      </c>
      <c r="D19" s="38">
        <v>820.96</v>
      </c>
      <c r="E19" s="38">
        <v>350.22</v>
      </c>
      <c r="F19" s="38">
        <v>727.97</v>
      </c>
      <c r="H19" s="3"/>
      <c r="I19" s="3"/>
      <c r="J19" s="3"/>
      <c r="K19" s="183"/>
      <c r="L19" s="183"/>
      <c r="M19" s="183"/>
      <c r="N19" s="183"/>
    </row>
    <row r="20" spans="1:20" s="6" customFormat="1" x14ac:dyDescent="0.3">
      <c r="A20" s="10" t="s">
        <v>2</v>
      </c>
      <c r="B20" s="38">
        <v>816.36</v>
      </c>
      <c r="C20" s="38">
        <v>858.02</v>
      </c>
      <c r="D20" s="38">
        <v>853</v>
      </c>
      <c r="E20" s="38">
        <v>1026.3399999999999</v>
      </c>
      <c r="F20" s="38">
        <v>1228.8499999999999</v>
      </c>
      <c r="H20" s="3"/>
      <c r="I20" s="3"/>
      <c r="J20" s="3"/>
      <c r="K20" s="183"/>
      <c r="L20" s="183"/>
      <c r="M20" s="183"/>
      <c r="N20" s="183"/>
    </row>
    <row r="21" spans="1:20" s="6" customFormat="1" x14ac:dyDescent="0.3">
      <c r="A21" s="10" t="s">
        <v>3</v>
      </c>
      <c r="B21" s="38">
        <v>95.41</v>
      </c>
      <c r="C21" s="38">
        <v>144.44999999999999</v>
      </c>
      <c r="D21" s="38">
        <v>205.17</v>
      </c>
      <c r="E21" s="38">
        <v>227.02</v>
      </c>
      <c r="F21" s="38">
        <v>195.41</v>
      </c>
      <c r="H21" s="3"/>
      <c r="I21" s="3"/>
      <c r="J21" s="3"/>
      <c r="K21" s="183"/>
      <c r="L21" s="183"/>
      <c r="M21" s="183"/>
      <c r="N21" s="183"/>
    </row>
    <row r="22" spans="1:20" s="6" customFormat="1" x14ac:dyDescent="0.3">
      <c r="A22" s="10" t="s">
        <v>4</v>
      </c>
      <c r="B22" s="38">
        <v>4187.72</v>
      </c>
      <c r="C22" s="38">
        <v>5688.83</v>
      </c>
      <c r="D22" s="38">
        <v>7347.77</v>
      </c>
      <c r="E22" s="38">
        <v>5103.07</v>
      </c>
      <c r="F22" s="38">
        <v>6003.44</v>
      </c>
      <c r="H22" s="3"/>
      <c r="I22" s="3"/>
      <c r="J22" s="3"/>
      <c r="K22" s="183"/>
      <c r="L22" s="183"/>
      <c r="M22" s="183"/>
      <c r="N22" s="183"/>
    </row>
    <row r="23" spans="1:20" s="6" customFormat="1" x14ac:dyDescent="0.3">
      <c r="A23" s="10" t="s">
        <v>5</v>
      </c>
      <c r="B23" s="38">
        <v>1102.9100000000001</v>
      </c>
      <c r="C23" s="38">
        <v>1493.5</v>
      </c>
      <c r="D23" s="38">
        <v>1790.08</v>
      </c>
      <c r="E23" s="38">
        <v>1393.36</v>
      </c>
      <c r="F23" s="38">
        <v>1608.75</v>
      </c>
      <c r="H23" s="3"/>
      <c r="I23" s="3"/>
      <c r="J23" s="3"/>
      <c r="K23" s="183"/>
      <c r="L23" s="183"/>
      <c r="M23" s="183"/>
      <c r="N23" s="183"/>
    </row>
    <row r="24" spans="1:20" s="6" customFormat="1" x14ac:dyDescent="0.3">
      <c r="A24" s="10" t="s">
        <v>6</v>
      </c>
      <c r="B24" s="38">
        <v>3030.57</v>
      </c>
      <c r="C24" s="38">
        <v>4106.45</v>
      </c>
      <c r="D24" s="38">
        <v>5460.23</v>
      </c>
      <c r="E24" s="38">
        <v>3667.23</v>
      </c>
      <c r="F24" s="38">
        <v>4325.3500000000004</v>
      </c>
      <c r="H24" s="3"/>
      <c r="I24" s="3"/>
      <c r="J24" s="3"/>
      <c r="K24" s="183"/>
      <c r="L24" s="183"/>
      <c r="M24" s="183"/>
      <c r="N24" s="183"/>
    </row>
    <row r="25" spans="1:20" s="6" customFormat="1" x14ac:dyDescent="0.3">
      <c r="A25" s="10" t="s">
        <v>20</v>
      </c>
      <c r="B25" s="38">
        <v>1836.87</v>
      </c>
      <c r="C25" s="38">
        <v>2460.35</v>
      </c>
      <c r="D25" s="38">
        <v>3194.14</v>
      </c>
      <c r="E25" s="38">
        <v>2378.8200000000002</v>
      </c>
      <c r="F25" s="38">
        <v>2637.8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s="6" customFormat="1" x14ac:dyDescent="0.3">
      <c r="A26" s="10"/>
      <c r="B26" s="21"/>
      <c r="C26" s="21"/>
      <c r="D26" s="21"/>
      <c r="E26" s="21"/>
      <c r="F26" s="2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3">
      <c r="A27" s="10"/>
      <c r="B27" s="28"/>
      <c r="C27" s="28"/>
      <c r="D27" s="28"/>
      <c r="E27" s="28"/>
      <c r="F27" s="28"/>
    </row>
    <row r="28" spans="1:20" x14ac:dyDescent="0.3">
      <c r="A28" s="10"/>
      <c r="B28" s="28"/>
      <c r="C28" s="28"/>
      <c r="D28" s="28"/>
      <c r="E28" s="28"/>
      <c r="F28" s="28"/>
    </row>
    <row r="29" spans="1:20" x14ac:dyDescent="0.3">
      <c r="A29" s="19" t="s">
        <v>15</v>
      </c>
      <c r="B29" s="28"/>
      <c r="C29" s="28"/>
      <c r="D29" s="28"/>
      <c r="E29" s="28"/>
      <c r="F29" s="28"/>
    </row>
    <row r="30" spans="1:20" s="5" customFormat="1" x14ac:dyDescent="0.3">
      <c r="A30" s="9" t="s">
        <v>14</v>
      </c>
      <c r="B30" s="48">
        <v>44651</v>
      </c>
      <c r="C30" s="48">
        <v>45016</v>
      </c>
      <c r="D30" s="48">
        <v>45382</v>
      </c>
      <c r="E30" s="48">
        <v>45747</v>
      </c>
      <c r="F30" s="48">
        <v>46112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3">
      <c r="A31" t="s">
        <v>165</v>
      </c>
      <c r="B31" s="38">
        <v>96</v>
      </c>
      <c r="C31" s="38">
        <v>96</v>
      </c>
      <c r="D31" s="38">
        <v>96</v>
      </c>
      <c r="E31" s="38">
        <v>96</v>
      </c>
      <c r="F31" s="38">
        <v>96</v>
      </c>
    </row>
    <row r="32" spans="1:20" x14ac:dyDescent="0.3">
      <c r="A32" t="s">
        <v>7</v>
      </c>
      <c r="B32" s="38">
        <v>13716</v>
      </c>
      <c r="C32" s="38">
        <v>15896</v>
      </c>
      <c r="D32" s="38">
        <v>18632</v>
      </c>
      <c r="E32" s="38">
        <v>19304</v>
      </c>
      <c r="F32" s="38">
        <v>21276</v>
      </c>
    </row>
    <row r="33" spans="1:20" x14ac:dyDescent="0.3">
      <c r="A33" s="112" t="s">
        <v>21</v>
      </c>
      <c r="B33" s="144">
        <v>1587</v>
      </c>
      <c r="C33" s="144">
        <v>1933</v>
      </c>
      <c r="D33" s="144">
        <v>2474</v>
      </c>
      <c r="E33" s="144">
        <v>2290</v>
      </c>
      <c r="F33" s="144">
        <v>3929</v>
      </c>
    </row>
    <row r="34" spans="1:20" s="2" customFormat="1" x14ac:dyDescent="0.3">
      <c r="A34" t="s">
        <v>109</v>
      </c>
      <c r="B34" s="38">
        <v>45</v>
      </c>
      <c r="C34" s="38">
        <v>76</v>
      </c>
      <c r="D34" s="38">
        <v>54</v>
      </c>
      <c r="E34" s="38">
        <v>260</v>
      </c>
      <c r="F34" s="38">
        <v>1247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3">
      <c r="A35" t="s">
        <v>110</v>
      </c>
      <c r="B35" s="38">
        <v>731</v>
      </c>
      <c r="C35" s="38">
        <v>896</v>
      </c>
      <c r="D35" s="38">
        <v>1053</v>
      </c>
      <c r="E35" s="38">
        <v>604</v>
      </c>
      <c r="F35" s="38">
        <v>1046</v>
      </c>
    </row>
    <row r="36" spans="1:20" x14ac:dyDescent="0.3">
      <c r="A36" t="s">
        <v>111</v>
      </c>
      <c r="B36" s="38">
        <v>811</v>
      </c>
      <c r="C36" s="38">
        <v>960</v>
      </c>
      <c r="D36" s="38">
        <v>1367</v>
      </c>
      <c r="E36" s="38">
        <v>1427</v>
      </c>
      <c r="F36" s="38">
        <v>1636</v>
      </c>
    </row>
    <row r="37" spans="1:20" x14ac:dyDescent="0.3">
      <c r="A37" t="s">
        <v>112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</row>
    <row r="38" spans="1:20" x14ac:dyDescent="0.3">
      <c r="A38" s="112" t="s">
        <v>22</v>
      </c>
      <c r="B38" s="38">
        <v>7560</v>
      </c>
      <c r="C38" s="38">
        <v>7854</v>
      </c>
      <c r="D38" s="38">
        <v>8698</v>
      </c>
      <c r="E38" s="38">
        <v>8665</v>
      </c>
      <c r="F38" s="38">
        <v>9218</v>
      </c>
    </row>
    <row r="39" spans="1:20" s="2" customFormat="1" x14ac:dyDescent="0.3">
      <c r="A39" t="s">
        <v>113</v>
      </c>
      <c r="B39" s="38">
        <v>388</v>
      </c>
      <c r="C39" s="38">
        <v>454</v>
      </c>
      <c r="D39" s="38">
        <v>695</v>
      </c>
      <c r="E39" s="38">
        <v>659</v>
      </c>
      <c r="F39" s="38">
        <v>643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s="6" customFormat="1" x14ac:dyDescent="0.3">
      <c r="A40" t="s">
        <v>114</v>
      </c>
      <c r="B40" s="38">
        <v>4164</v>
      </c>
      <c r="C40" s="38">
        <v>3635</v>
      </c>
      <c r="D40" s="38">
        <v>3831</v>
      </c>
      <c r="E40" s="38">
        <v>3848</v>
      </c>
      <c r="F40" s="38">
        <v>3863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3">
      <c r="A41" t="s">
        <v>115</v>
      </c>
      <c r="B41" s="38">
        <v>76</v>
      </c>
      <c r="C41" s="38">
        <v>108</v>
      </c>
      <c r="D41" s="38">
        <v>154</v>
      </c>
      <c r="E41" s="38">
        <v>174</v>
      </c>
      <c r="F41" s="38">
        <v>107</v>
      </c>
    </row>
    <row r="42" spans="1:20" x14ac:dyDescent="0.3">
      <c r="A42" t="s">
        <v>116</v>
      </c>
      <c r="B42" s="38">
        <v>2932</v>
      </c>
      <c r="C42" s="38">
        <v>3657</v>
      </c>
      <c r="D42" s="38">
        <v>4017</v>
      </c>
      <c r="E42" s="38">
        <v>3984</v>
      </c>
      <c r="F42" s="38">
        <v>4604</v>
      </c>
    </row>
    <row r="43" spans="1:20" ht="15" thickBot="1" x14ac:dyDescent="0.35">
      <c r="A43" s="160" t="s">
        <v>117</v>
      </c>
      <c r="B43" s="161">
        <v>22958</v>
      </c>
      <c r="C43" s="161">
        <v>25779</v>
      </c>
      <c r="D43" s="161">
        <v>29901</v>
      </c>
      <c r="E43" s="161">
        <v>30355</v>
      </c>
      <c r="F43" s="161">
        <v>34519</v>
      </c>
    </row>
    <row r="44" spans="1:20" ht="15" thickTop="1" x14ac:dyDescent="0.3">
      <c r="A44" s="112" t="s">
        <v>118</v>
      </c>
      <c r="B44" s="144">
        <v>5519</v>
      </c>
      <c r="C44" s="144">
        <v>5770</v>
      </c>
      <c r="D44" s="144">
        <v>7147</v>
      </c>
      <c r="E44" s="144">
        <v>9220</v>
      </c>
      <c r="F44" s="144">
        <v>9640</v>
      </c>
    </row>
    <row r="45" spans="1:20" x14ac:dyDescent="0.3">
      <c r="A45" t="s">
        <v>119</v>
      </c>
      <c r="B45" s="38">
        <v>644</v>
      </c>
      <c r="C45" s="38">
        <v>804</v>
      </c>
      <c r="D45" s="38">
        <v>1126</v>
      </c>
      <c r="E45" s="38">
        <v>1035</v>
      </c>
      <c r="F45" s="38">
        <v>1204</v>
      </c>
    </row>
    <row r="46" spans="1:20" x14ac:dyDescent="0.3">
      <c r="A46" t="s">
        <v>120</v>
      </c>
      <c r="B46" s="38">
        <v>2325</v>
      </c>
      <c r="C46" s="38">
        <v>2883</v>
      </c>
      <c r="D46" s="38">
        <v>3390</v>
      </c>
      <c r="E46" s="38">
        <v>3771</v>
      </c>
      <c r="F46" s="38">
        <v>4124</v>
      </c>
    </row>
    <row r="47" spans="1:20" x14ac:dyDescent="0.3">
      <c r="A47" t="s">
        <v>121</v>
      </c>
      <c r="B47" s="38">
        <v>4531</v>
      </c>
      <c r="C47" s="38">
        <v>4825</v>
      </c>
      <c r="D47" s="38">
        <v>5422</v>
      </c>
      <c r="E47" s="38">
        <v>7576</v>
      </c>
      <c r="F47" s="38">
        <v>8210</v>
      </c>
    </row>
    <row r="48" spans="1:20" x14ac:dyDescent="0.3">
      <c r="A48" t="s">
        <v>122</v>
      </c>
      <c r="B48" s="38">
        <v>253</v>
      </c>
      <c r="C48" s="38">
        <v>270</v>
      </c>
      <c r="D48" s="38">
        <v>298</v>
      </c>
      <c r="E48" s="38">
        <v>325</v>
      </c>
      <c r="F48" s="38">
        <v>351</v>
      </c>
    </row>
    <row r="49" spans="1:6" x14ac:dyDescent="0.3">
      <c r="A49" t="s">
        <v>123</v>
      </c>
      <c r="B49" s="38">
        <v>113</v>
      </c>
      <c r="C49" s="38">
        <v>146</v>
      </c>
      <c r="D49" s="38">
        <v>175</v>
      </c>
      <c r="E49" s="38">
        <v>203</v>
      </c>
      <c r="F49" s="38">
        <v>216</v>
      </c>
    </row>
    <row r="50" spans="1:6" x14ac:dyDescent="0.3">
      <c r="A50" t="s">
        <v>124</v>
      </c>
      <c r="B50" s="38">
        <v>32</v>
      </c>
      <c r="C50" s="38">
        <v>36</v>
      </c>
      <c r="D50" s="38">
        <v>40</v>
      </c>
      <c r="E50" s="38">
        <v>34</v>
      </c>
      <c r="F50" s="38">
        <v>45</v>
      </c>
    </row>
    <row r="51" spans="1:6" x14ac:dyDescent="0.3">
      <c r="A51" t="s">
        <v>125</v>
      </c>
      <c r="B51" s="38">
        <v>345</v>
      </c>
      <c r="C51" s="38">
        <v>422</v>
      </c>
      <c r="D51" s="38">
        <v>850</v>
      </c>
      <c r="E51" s="38">
        <v>827</v>
      </c>
      <c r="F51" s="38">
        <v>833</v>
      </c>
    </row>
    <row r="52" spans="1:6" x14ac:dyDescent="0.3">
      <c r="A52" t="s">
        <v>126</v>
      </c>
      <c r="B52" s="38">
        <v>294</v>
      </c>
      <c r="C52" s="38">
        <v>289</v>
      </c>
      <c r="D52" s="38">
        <v>321</v>
      </c>
      <c r="E52" s="38">
        <v>328</v>
      </c>
      <c r="F52" s="38">
        <v>335</v>
      </c>
    </row>
    <row r="53" spans="1:6" x14ac:dyDescent="0.3">
      <c r="A53" s="112" t="s">
        <v>127</v>
      </c>
      <c r="B53" s="38">
        <v>8538</v>
      </c>
      <c r="C53" s="38">
        <v>9676</v>
      </c>
      <c r="D53" s="38">
        <v>11622</v>
      </c>
      <c r="E53" s="38">
        <v>14099</v>
      </c>
      <c r="F53" s="38">
        <v>15316</v>
      </c>
    </row>
    <row r="54" spans="1:6" x14ac:dyDescent="0.3">
      <c r="A54" t="s">
        <v>128</v>
      </c>
      <c r="B54" s="38">
        <v>3019</v>
      </c>
      <c r="C54" s="38">
        <v>3905</v>
      </c>
      <c r="D54" s="38">
        <v>4475</v>
      </c>
      <c r="E54" s="38">
        <v>4879</v>
      </c>
      <c r="F54" s="38">
        <v>5676</v>
      </c>
    </row>
    <row r="55" spans="1:6" x14ac:dyDescent="0.3">
      <c r="A55" t="s">
        <v>129</v>
      </c>
      <c r="B55" s="38">
        <v>426</v>
      </c>
      <c r="C55" s="38">
        <v>1020</v>
      </c>
      <c r="D55" s="38">
        <v>2698</v>
      </c>
      <c r="E55" s="38">
        <v>1254</v>
      </c>
      <c r="F55" s="38">
        <v>1849</v>
      </c>
    </row>
    <row r="56" spans="1:6" x14ac:dyDescent="0.3">
      <c r="A56" t="s">
        <v>8</v>
      </c>
      <c r="B56" s="38">
        <v>3248</v>
      </c>
      <c r="C56" s="38">
        <v>4262</v>
      </c>
      <c r="D56" s="38">
        <v>4588</v>
      </c>
      <c r="E56" s="38">
        <v>4725</v>
      </c>
      <c r="F56" s="38">
        <v>7062</v>
      </c>
    </row>
    <row r="57" spans="1:6" x14ac:dyDescent="0.3">
      <c r="A57" s="112" t="s">
        <v>23</v>
      </c>
      <c r="B57" s="38">
        <v>13765</v>
      </c>
      <c r="C57" s="38">
        <v>14728</v>
      </c>
      <c r="D57" s="38">
        <v>15468</v>
      </c>
      <c r="E57" s="38">
        <v>15156</v>
      </c>
      <c r="F57" s="38">
        <v>15968</v>
      </c>
    </row>
    <row r="58" spans="1:6" x14ac:dyDescent="0.3">
      <c r="A58" s="112" t="s">
        <v>130</v>
      </c>
      <c r="B58" s="38">
        <v>6153</v>
      </c>
      <c r="C58" s="38">
        <v>6211</v>
      </c>
      <c r="D58" s="38">
        <v>5923</v>
      </c>
      <c r="E58" s="38">
        <v>6719</v>
      </c>
      <c r="F58" s="38">
        <v>5744</v>
      </c>
    </row>
    <row r="59" spans="1:6" x14ac:dyDescent="0.3">
      <c r="A59" s="112" t="s">
        <v>166</v>
      </c>
      <c r="B59" s="38">
        <v>3871</v>
      </c>
      <c r="C59" s="38">
        <v>4637</v>
      </c>
      <c r="D59" s="38">
        <v>4889</v>
      </c>
      <c r="E59" s="38">
        <v>4314</v>
      </c>
      <c r="F59" s="38">
        <v>4462</v>
      </c>
    </row>
    <row r="60" spans="1:6" x14ac:dyDescent="0.3">
      <c r="A60" t="s">
        <v>131</v>
      </c>
      <c r="B60" s="38">
        <v>864</v>
      </c>
      <c r="C60" s="38">
        <v>844</v>
      </c>
      <c r="D60" s="38">
        <v>1084</v>
      </c>
      <c r="E60" s="38">
        <v>782</v>
      </c>
      <c r="F60" s="38">
        <v>1074</v>
      </c>
    </row>
    <row r="61" spans="1:6" x14ac:dyDescent="0.3">
      <c r="A61" t="s">
        <v>132</v>
      </c>
      <c r="B61" s="38">
        <v>8</v>
      </c>
      <c r="C61" s="38">
        <v>12</v>
      </c>
      <c r="D61" s="38">
        <v>17</v>
      </c>
      <c r="E61" s="38">
        <v>22</v>
      </c>
      <c r="F61" s="38">
        <v>27</v>
      </c>
    </row>
    <row r="62" spans="1:6" x14ac:dyDescent="0.3">
      <c r="A62" t="s">
        <v>133</v>
      </c>
      <c r="B62" s="38">
        <v>2869</v>
      </c>
      <c r="C62" s="38">
        <v>3024</v>
      </c>
      <c r="D62" s="38">
        <v>3555</v>
      </c>
      <c r="E62" s="38">
        <v>3319</v>
      </c>
      <c r="F62" s="38">
        <v>4662</v>
      </c>
    </row>
    <row r="63" spans="1:6" ht="15" thickBot="1" x14ac:dyDescent="0.35">
      <c r="A63" s="160" t="s">
        <v>134</v>
      </c>
      <c r="B63" s="161">
        <v>22958</v>
      </c>
      <c r="C63" s="161">
        <v>25779</v>
      </c>
      <c r="D63" s="161">
        <v>29901</v>
      </c>
      <c r="E63" s="161">
        <v>30355</v>
      </c>
      <c r="F63" s="161">
        <v>34519</v>
      </c>
    </row>
    <row r="64" spans="1:6" ht="15" thickTop="1" x14ac:dyDescent="0.3">
      <c r="A64" s="8" t="s">
        <v>32</v>
      </c>
      <c r="B64" s="38">
        <v>1</v>
      </c>
      <c r="C64" s="38">
        <v>1</v>
      </c>
      <c r="D64" s="38">
        <v>1</v>
      </c>
      <c r="E64" s="38">
        <v>1</v>
      </c>
      <c r="F64" s="38">
        <v>1</v>
      </c>
    </row>
    <row r="65" spans="1:8" x14ac:dyDescent="0.3">
      <c r="B65" s="28"/>
      <c r="C65" s="28"/>
      <c r="D65" s="28"/>
      <c r="E65" s="28"/>
      <c r="F65" s="28"/>
    </row>
    <row r="66" spans="1:8" x14ac:dyDescent="0.3">
      <c r="B66" s="30"/>
      <c r="C66" s="30"/>
      <c r="D66" s="30"/>
      <c r="E66" s="30"/>
      <c r="F66" s="30"/>
    </row>
    <row r="67" spans="1:8" x14ac:dyDescent="0.3">
      <c r="B67" s="30"/>
      <c r="C67" s="30"/>
      <c r="D67" s="30"/>
      <c r="E67" s="30"/>
      <c r="F67" s="30"/>
    </row>
    <row r="68" spans="1:8" x14ac:dyDescent="0.3">
      <c r="B68" s="30"/>
      <c r="C68" s="30"/>
      <c r="D68" s="30"/>
      <c r="E68" s="30"/>
      <c r="F68" s="30"/>
    </row>
    <row r="69" spans="1:8" x14ac:dyDescent="0.3">
      <c r="B69" s="30"/>
      <c r="C69" s="30"/>
      <c r="D69" s="30"/>
      <c r="E69" s="30"/>
      <c r="F69" s="30"/>
    </row>
    <row r="70" spans="1:8" x14ac:dyDescent="0.3">
      <c r="A70" s="10"/>
      <c r="B70" s="28"/>
      <c r="C70" s="28"/>
      <c r="D70" s="28"/>
      <c r="E70" s="28"/>
      <c r="F70" s="28"/>
    </row>
    <row r="71" spans="1:8" x14ac:dyDescent="0.3">
      <c r="A71" s="19" t="s">
        <v>16</v>
      </c>
      <c r="B71" s="28"/>
      <c r="C71" s="28"/>
      <c r="D71" s="28"/>
      <c r="E71" s="28"/>
      <c r="F71" s="28"/>
    </row>
    <row r="72" spans="1:8" s="5" customFormat="1" x14ac:dyDescent="0.3">
      <c r="A72" s="9" t="s">
        <v>14</v>
      </c>
      <c r="B72" s="48">
        <v>44651</v>
      </c>
      <c r="C72" s="48">
        <v>45016</v>
      </c>
      <c r="D72" s="48">
        <v>45382</v>
      </c>
      <c r="E72" s="48">
        <v>45747</v>
      </c>
      <c r="F72" s="48">
        <v>46112</v>
      </c>
    </row>
    <row r="73" spans="1:8" s="2" customFormat="1" x14ac:dyDescent="0.3">
      <c r="A73" s="11" t="s">
        <v>9</v>
      </c>
      <c r="B73" s="38">
        <v>986</v>
      </c>
      <c r="C73" s="38">
        <v>4193</v>
      </c>
      <c r="D73" s="38">
        <v>6104</v>
      </c>
      <c r="E73" s="38">
        <v>4424</v>
      </c>
      <c r="F73" s="38">
        <v>7088</v>
      </c>
      <c r="H73" s="158"/>
    </row>
    <row r="74" spans="1:8" s="6" customFormat="1" x14ac:dyDescent="0.3">
      <c r="A74" s="11" t="s">
        <v>34</v>
      </c>
      <c r="B74" s="38">
        <v>4957</v>
      </c>
      <c r="C74" s="38">
        <v>6460</v>
      </c>
      <c r="D74" s="38">
        <v>7929</v>
      </c>
      <c r="E74" s="38">
        <v>6390</v>
      </c>
      <c r="F74" s="38">
        <v>7186</v>
      </c>
      <c r="H74" s="158"/>
    </row>
    <row r="75" spans="1:8" s="6" customFormat="1" x14ac:dyDescent="0.3">
      <c r="A75" s="11" t="s">
        <v>24</v>
      </c>
      <c r="B75" s="38">
        <v>-1326</v>
      </c>
      <c r="C75" s="38">
        <v>-834</v>
      </c>
      <c r="D75" s="38">
        <v>-362</v>
      </c>
      <c r="E75" s="38">
        <v>282</v>
      </c>
      <c r="F75" s="38">
        <v>-274</v>
      </c>
      <c r="H75" s="158"/>
    </row>
    <row r="76" spans="1:8" s="2" customFormat="1" x14ac:dyDescent="0.3">
      <c r="A76" s="11" t="s">
        <v>18</v>
      </c>
      <c r="B76" s="38">
        <v>-2354</v>
      </c>
      <c r="C76" s="38">
        <v>-56</v>
      </c>
      <c r="D76" s="38">
        <v>315</v>
      </c>
      <c r="E76" s="38">
        <v>-805</v>
      </c>
      <c r="F76" s="38">
        <v>976</v>
      </c>
      <c r="H76" s="158"/>
    </row>
    <row r="77" spans="1:8" x14ac:dyDescent="0.3">
      <c r="A77" s="11" t="s">
        <v>35</v>
      </c>
      <c r="B77" s="38">
        <v>644</v>
      </c>
      <c r="C77" s="38">
        <v>-539</v>
      </c>
      <c r="D77" s="38">
        <v>269</v>
      </c>
      <c r="E77" s="38">
        <v>-160</v>
      </c>
      <c r="F77" s="38">
        <v>396</v>
      </c>
      <c r="H77" s="158"/>
    </row>
    <row r="78" spans="1:8" x14ac:dyDescent="0.3">
      <c r="A78" s="11" t="s">
        <v>36</v>
      </c>
      <c r="B78" s="38">
        <v>-2795</v>
      </c>
      <c r="C78" s="38">
        <v>-772</v>
      </c>
      <c r="D78" s="38">
        <v>10</v>
      </c>
      <c r="E78" s="38">
        <v>-570</v>
      </c>
      <c r="F78" s="38">
        <v>1476</v>
      </c>
      <c r="H78" s="158"/>
    </row>
    <row r="79" spans="1:8" x14ac:dyDescent="0.3">
      <c r="A79" s="11" t="s">
        <v>37</v>
      </c>
      <c r="B79" s="38">
        <v>-1176</v>
      </c>
      <c r="C79" s="38">
        <v>-1494</v>
      </c>
      <c r="D79" s="38">
        <v>-1835</v>
      </c>
      <c r="E79" s="38">
        <v>-1396</v>
      </c>
      <c r="F79" s="38">
        <v>-1574</v>
      </c>
      <c r="H79" s="158"/>
    </row>
    <row r="80" spans="1:8" x14ac:dyDescent="0.3">
      <c r="A80" s="11" t="s">
        <v>10</v>
      </c>
      <c r="B80" s="38">
        <v>-317</v>
      </c>
      <c r="C80" s="38">
        <v>-1282</v>
      </c>
      <c r="D80" s="38">
        <v>-2548</v>
      </c>
      <c r="E80" s="38">
        <v>-941</v>
      </c>
      <c r="F80" s="38">
        <v>-1328</v>
      </c>
      <c r="H80" s="158"/>
    </row>
    <row r="81" spans="1:8" s="2" customFormat="1" x14ac:dyDescent="0.3">
      <c r="A81" s="11" t="s">
        <v>38</v>
      </c>
      <c r="B81" s="38">
        <v>-551</v>
      </c>
      <c r="C81" s="38">
        <v>-1446</v>
      </c>
      <c r="D81" s="38">
        <v>-2496</v>
      </c>
      <c r="E81" s="38">
        <v>-1830</v>
      </c>
      <c r="F81" s="38">
        <v>-1487</v>
      </c>
      <c r="H81" s="158"/>
    </row>
    <row r="82" spans="1:8" x14ac:dyDescent="0.3">
      <c r="A82" s="11" t="s">
        <v>39</v>
      </c>
      <c r="B82" s="38">
        <v>40</v>
      </c>
      <c r="C82" s="38">
        <v>26</v>
      </c>
      <c r="D82" s="38">
        <v>5</v>
      </c>
      <c r="E82" s="38">
        <v>10</v>
      </c>
      <c r="F82" s="38">
        <v>3</v>
      </c>
      <c r="H82" s="158"/>
    </row>
    <row r="83" spans="1:8" s="2" customFormat="1" x14ac:dyDescent="0.3">
      <c r="A83" s="11" t="s">
        <v>40</v>
      </c>
      <c r="B83" s="38">
        <v>0</v>
      </c>
      <c r="C83" s="38">
        <v>-146</v>
      </c>
      <c r="D83" s="38">
        <v>-212</v>
      </c>
      <c r="E83" s="38">
        <v>-1</v>
      </c>
      <c r="F83" s="38">
        <v>0</v>
      </c>
      <c r="H83" s="158"/>
    </row>
    <row r="84" spans="1:8" x14ac:dyDescent="0.3">
      <c r="A84" s="11" t="s">
        <v>41</v>
      </c>
      <c r="B84" s="38">
        <v>207</v>
      </c>
      <c r="C84" s="38">
        <v>446</v>
      </c>
      <c r="D84" s="38">
        <v>240</v>
      </c>
      <c r="E84" s="38">
        <v>421</v>
      </c>
      <c r="F84" s="38">
        <v>1197</v>
      </c>
      <c r="H84" s="158"/>
    </row>
    <row r="85" spans="1:8" x14ac:dyDescent="0.3">
      <c r="A85" s="11" t="s">
        <v>42</v>
      </c>
      <c r="B85" s="38">
        <v>77</v>
      </c>
      <c r="C85" s="38">
        <v>87</v>
      </c>
      <c r="D85" s="38">
        <v>135</v>
      </c>
      <c r="E85" s="38">
        <v>155</v>
      </c>
      <c r="F85" s="38">
        <v>153</v>
      </c>
      <c r="H85" s="158"/>
    </row>
    <row r="86" spans="1:8" x14ac:dyDescent="0.3">
      <c r="A86" s="11" t="s">
        <v>43</v>
      </c>
      <c r="B86" s="38">
        <v>15</v>
      </c>
      <c r="C86" s="38">
        <v>56</v>
      </c>
      <c r="D86" s="38">
        <v>129</v>
      </c>
      <c r="E86" s="38">
        <v>136</v>
      </c>
      <c r="F86" s="38">
        <v>118</v>
      </c>
      <c r="H86" s="158"/>
    </row>
    <row r="87" spans="1:8" x14ac:dyDescent="0.3">
      <c r="A87" s="11" t="s">
        <v>44</v>
      </c>
      <c r="B87" s="38">
        <v>0</v>
      </c>
      <c r="C87" s="38">
        <v>0</v>
      </c>
      <c r="D87" s="38">
        <v>0</v>
      </c>
      <c r="E87" s="38">
        <v>0</v>
      </c>
      <c r="F87" s="38">
        <v>0</v>
      </c>
      <c r="H87" s="158"/>
    </row>
    <row r="88" spans="1:8" x14ac:dyDescent="0.3">
      <c r="A88" s="11" t="s">
        <v>45</v>
      </c>
      <c r="B88" s="38">
        <v>0</v>
      </c>
      <c r="C88" s="38">
        <v>-180</v>
      </c>
      <c r="D88" s="38">
        <v>0</v>
      </c>
      <c r="E88" s="38">
        <v>0</v>
      </c>
      <c r="F88" s="38">
        <v>0</v>
      </c>
      <c r="H88" s="158"/>
    </row>
    <row r="89" spans="1:8" x14ac:dyDescent="0.3">
      <c r="A89" s="11" t="s">
        <v>46</v>
      </c>
      <c r="B89" s="38">
        <v>0</v>
      </c>
      <c r="C89" s="38">
        <v>0</v>
      </c>
      <c r="D89" s="38">
        <v>0</v>
      </c>
      <c r="E89" s="38">
        <v>38</v>
      </c>
      <c r="F89" s="38">
        <v>0</v>
      </c>
      <c r="H89" s="158"/>
    </row>
    <row r="90" spans="1:8" x14ac:dyDescent="0.3">
      <c r="A90" s="11" t="s">
        <v>47</v>
      </c>
      <c r="B90" s="38">
        <v>-105</v>
      </c>
      <c r="C90" s="38">
        <v>-126</v>
      </c>
      <c r="D90" s="38">
        <v>-350</v>
      </c>
      <c r="E90" s="38">
        <v>130</v>
      </c>
      <c r="F90" s="38">
        <v>-1312</v>
      </c>
      <c r="H90" s="158"/>
    </row>
    <row r="91" spans="1:8" x14ac:dyDescent="0.3">
      <c r="A91" s="11" t="s">
        <v>11</v>
      </c>
      <c r="B91" s="38">
        <v>-1808</v>
      </c>
      <c r="C91" s="38">
        <v>-2140</v>
      </c>
      <c r="D91" s="38">
        <v>-2982</v>
      </c>
      <c r="E91" s="38">
        <v>-3753</v>
      </c>
      <c r="F91" s="38">
        <v>-2377</v>
      </c>
      <c r="H91" s="158"/>
    </row>
    <row r="92" spans="1:8" x14ac:dyDescent="0.3">
      <c r="A92" s="11" t="s">
        <v>48</v>
      </c>
      <c r="B92" s="38">
        <v>0</v>
      </c>
      <c r="C92" s="38">
        <v>0</v>
      </c>
      <c r="D92" s="38">
        <v>1</v>
      </c>
      <c r="E92" s="38">
        <v>0</v>
      </c>
      <c r="F92" s="38">
        <v>0</v>
      </c>
      <c r="H92" s="158"/>
    </row>
    <row r="93" spans="1:8" x14ac:dyDescent="0.3">
      <c r="A93" s="11" t="s">
        <v>49</v>
      </c>
      <c r="B93" s="38">
        <v>418</v>
      </c>
      <c r="C93" s="38">
        <v>254</v>
      </c>
      <c r="D93" s="38">
        <v>101</v>
      </c>
      <c r="E93" s="38">
        <v>415</v>
      </c>
      <c r="F93" s="38">
        <v>1279</v>
      </c>
      <c r="H93" s="158"/>
    </row>
    <row r="94" spans="1:8" x14ac:dyDescent="0.3">
      <c r="A94" s="11" t="s">
        <v>50</v>
      </c>
      <c r="B94" s="38">
        <v>-8</v>
      </c>
      <c r="C94" s="38">
        <v>-25</v>
      </c>
      <c r="D94" s="38">
        <v>-98</v>
      </c>
      <c r="E94" s="38">
        <v>-428</v>
      </c>
      <c r="F94" s="38">
        <v>-452</v>
      </c>
      <c r="H94" s="158"/>
    </row>
    <row r="95" spans="1:8" x14ac:dyDescent="0.3">
      <c r="A95" s="11" t="s">
        <v>51</v>
      </c>
      <c r="B95" s="38">
        <v>-94</v>
      </c>
      <c r="C95" s="38">
        <v>-142</v>
      </c>
      <c r="D95" s="38">
        <v>-191</v>
      </c>
      <c r="E95" s="38">
        <v>-203</v>
      </c>
      <c r="F95" s="38">
        <v>-228</v>
      </c>
      <c r="H95" s="158"/>
    </row>
    <row r="96" spans="1:8" x14ac:dyDescent="0.3">
      <c r="A96" s="11" t="s">
        <v>52</v>
      </c>
      <c r="B96" s="38">
        <v>-1763</v>
      </c>
      <c r="C96" s="38">
        <v>-1936</v>
      </c>
      <c r="D96" s="38">
        <v>-2551</v>
      </c>
      <c r="E96" s="38">
        <v>-3140</v>
      </c>
      <c r="F96" s="38">
        <v>-2425</v>
      </c>
      <c r="H96" s="158"/>
    </row>
    <row r="97" spans="1:8" x14ac:dyDescent="0.3">
      <c r="A97" s="11" t="s">
        <v>53</v>
      </c>
      <c r="B97" s="38">
        <v>-221</v>
      </c>
      <c r="C97" s="38">
        <v>-256</v>
      </c>
      <c r="D97" s="38">
        <v>-286</v>
      </c>
      <c r="E97" s="38">
        <v>-325</v>
      </c>
      <c r="F97" s="38">
        <v>-340</v>
      </c>
      <c r="H97" s="158"/>
    </row>
    <row r="98" spans="1:8" x14ac:dyDescent="0.3">
      <c r="A98" s="11" t="s">
        <v>54</v>
      </c>
      <c r="B98" s="38">
        <v>-140</v>
      </c>
      <c r="C98" s="38">
        <v>-36</v>
      </c>
      <c r="D98" s="38">
        <v>41</v>
      </c>
      <c r="E98" s="38">
        <v>-72</v>
      </c>
      <c r="F98" s="38">
        <v>-210</v>
      </c>
      <c r="H98" s="158"/>
    </row>
    <row r="99" spans="1:8" x14ac:dyDescent="0.3">
      <c r="A99" s="11" t="s">
        <v>12</v>
      </c>
      <c r="B99" s="38">
        <v>-1138</v>
      </c>
      <c r="C99" s="38">
        <v>771</v>
      </c>
      <c r="D99" s="38">
        <v>573</v>
      </c>
      <c r="E99" s="38">
        <v>-270</v>
      </c>
      <c r="F99" s="38">
        <v>3383</v>
      </c>
      <c r="H99" s="158"/>
    </row>
    <row r="100" spans="1:8" x14ac:dyDescent="0.3">
      <c r="A100" s="11" t="s">
        <v>55</v>
      </c>
      <c r="B100" s="38">
        <v>475</v>
      </c>
      <c r="C100" s="38">
        <v>2774</v>
      </c>
      <c r="D100" s="38">
        <v>3613</v>
      </c>
      <c r="E100" s="38">
        <v>2604</v>
      </c>
      <c r="F100" s="38">
        <v>5604</v>
      </c>
      <c r="H100" s="158"/>
    </row>
    <row r="101" spans="1:8" x14ac:dyDescent="0.3">
      <c r="A101" s="11" t="s">
        <v>56</v>
      </c>
      <c r="B101" s="38">
        <v>45</v>
      </c>
      <c r="C101" s="38">
        <v>91</v>
      </c>
      <c r="D101" s="38">
        <v>105</v>
      </c>
      <c r="E101" s="38">
        <v>97</v>
      </c>
      <c r="F101" s="38">
        <v>129</v>
      </c>
      <c r="H101" s="158"/>
    </row>
    <row r="102" spans="1:8" x14ac:dyDescent="0.3">
      <c r="H102" s="158"/>
    </row>
  </sheetData>
  <mergeCells count="1">
    <mergeCell ref="D6:E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F15B-1418-49B6-80E3-CA8B36AE1A02}">
  <dimension ref="A1:T83"/>
  <sheetViews>
    <sheetView zoomScale="77" zoomScaleNormal="82" workbookViewId="0">
      <selection activeCell="C10" sqref="C10"/>
    </sheetView>
  </sheetViews>
  <sheetFormatPr defaultRowHeight="14.4" x14ac:dyDescent="0.3"/>
  <cols>
    <col min="1" max="1" width="7" style="1" customWidth="1"/>
    <col min="2" max="2" width="22.5546875" style="203" customWidth="1"/>
    <col min="3" max="7" width="8.88671875" style="1"/>
    <col min="8" max="8" width="8.6640625" style="1" bestFit="1" customWidth="1"/>
    <col min="9" max="13" width="9.88671875" style="1" bestFit="1" customWidth="1"/>
    <col min="14" max="14" width="23.5546875" style="1" customWidth="1"/>
    <col min="15" max="16384" width="8.88671875" style="1"/>
  </cols>
  <sheetData>
    <row r="1" spans="1:20" customFormat="1" ht="14.4" customHeight="1" x14ac:dyDescent="0.4">
      <c r="A1" s="36"/>
      <c r="B1" s="36"/>
      <c r="C1" s="36"/>
      <c r="D1" s="36"/>
      <c r="E1" s="36"/>
      <c r="F1" s="36"/>
      <c r="G1" s="36"/>
      <c r="H1" s="36"/>
    </row>
    <row r="2" spans="1:20" customFormat="1" ht="15" thickBot="1" x14ac:dyDescent="0.35">
      <c r="L2" s="44" t="s">
        <v>147</v>
      </c>
    </row>
    <row r="3" spans="1:20" customFormat="1" ht="15" thickBot="1" x14ac:dyDescent="0.35">
      <c r="C3" s="198" t="s">
        <v>83</v>
      </c>
      <c r="D3" s="199"/>
      <c r="E3" s="199"/>
      <c r="F3" s="199"/>
      <c r="G3" s="200"/>
      <c r="H3" s="198" t="s">
        <v>82</v>
      </c>
      <c r="I3" s="199"/>
      <c r="J3" s="199"/>
      <c r="K3" s="199"/>
      <c r="L3" s="200"/>
    </row>
    <row r="4" spans="1:20" s="22" customFormat="1" x14ac:dyDescent="0.3">
      <c r="B4" s="9" t="s">
        <v>14</v>
      </c>
      <c r="C4" s="48">
        <v>44651</v>
      </c>
      <c r="D4" s="48">
        <v>45016</v>
      </c>
      <c r="E4" s="48">
        <v>45382</v>
      </c>
      <c r="F4" s="48">
        <v>45747</v>
      </c>
      <c r="G4" s="48">
        <v>46112</v>
      </c>
      <c r="H4" s="159">
        <v>46477</v>
      </c>
      <c r="I4" s="159">
        <v>46843</v>
      </c>
      <c r="J4" s="159">
        <v>47208</v>
      </c>
      <c r="K4" s="159">
        <v>47573</v>
      </c>
      <c r="L4" s="159">
        <v>47938</v>
      </c>
    </row>
    <row r="5" spans="1:20" customFormat="1" x14ac:dyDescent="0.3">
      <c r="B5" s="13" t="s">
        <v>57</v>
      </c>
    </row>
    <row r="6" spans="1:20" customFormat="1" ht="15" thickBot="1" x14ac:dyDescent="0.35">
      <c r="N6" s="1"/>
      <c r="O6" s="1"/>
      <c r="P6" s="1"/>
      <c r="Q6" s="1"/>
      <c r="R6" s="1"/>
      <c r="S6" s="1"/>
      <c r="T6" s="174"/>
    </row>
    <row r="7" spans="1:20" customFormat="1" x14ac:dyDescent="0.3">
      <c r="B7" s="7" t="s">
        <v>0</v>
      </c>
      <c r="C7" s="39">
        <f>'Data Sheet'!B11</f>
        <v>29101.279999999999</v>
      </c>
      <c r="D7" s="39">
        <f>'Data Sheet'!C11</f>
        <v>34488.589999999997</v>
      </c>
      <c r="E7" s="39">
        <f>'Data Sheet'!D11</f>
        <v>35494.730000000003</v>
      </c>
      <c r="F7" s="39">
        <f>'Data Sheet'!E11</f>
        <v>33905.620000000003</v>
      </c>
      <c r="G7" s="39">
        <f>'Data Sheet'!F11</f>
        <v>35583.54</v>
      </c>
      <c r="H7" s="38">
        <f>G7*(1+H8)</f>
        <v>37142.195585496956</v>
      </c>
      <c r="I7" s="38">
        <f t="shared" ref="I7:L7" si="0">H7*(1+I8)</f>
        <v>38769.124514067727</v>
      </c>
      <c r="J7" s="38">
        <f t="shared" si="0"/>
        <v>40467.317343355608</v>
      </c>
      <c r="K7" s="38">
        <f t="shared" si="0"/>
        <v>42239.895625541671</v>
      </c>
      <c r="L7" s="38">
        <f t="shared" si="0"/>
        <v>44090.117645260871</v>
      </c>
      <c r="N7" s="1"/>
      <c r="O7" s="1"/>
      <c r="P7" s="1"/>
      <c r="Q7" s="1"/>
      <c r="R7" s="1"/>
      <c r="S7" s="1"/>
      <c r="T7" s="175"/>
    </row>
    <row r="8" spans="1:20" customFormat="1" ht="15" thickBot="1" x14ac:dyDescent="0.35">
      <c r="B8" s="11" t="s">
        <v>58</v>
      </c>
      <c r="C8" s="42">
        <v>0</v>
      </c>
      <c r="D8" s="42">
        <f>D7/C7-1</f>
        <v>0.18512278497715551</v>
      </c>
      <c r="E8" s="42">
        <f t="shared" ref="E8:G8" si="1">E7/D7-1</f>
        <v>2.9173126532572313E-2</v>
      </c>
      <c r="F8" s="42">
        <f t="shared" si="1"/>
        <v>-4.4770308155605121E-2</v>
      </c>
      <c r="G8" s="42">
        <f t="shared" si="1"/>
        <v>4.9487960992897317E-2</v>
      </c>
      <c r="H8" s="42">
        <f>Assumptions!$D$3</f>
        <v>4.3802712869404001E-2</v>
      </c>
      <c r="I8" s="42">
        <f>Assumptions!$D$3</f>
        <v>4.3802712869404001E-2</v>
      </c>
      <c r="J8" s="42">
        <f>Assumptions!$D$3</f>
        <v>4.3802712869404001E-2</v>
      </c>
      <c r="K8" s="42">
        <f>Assumptions!$D$3</f>
        <v>4.3802712869404001E-2</v>
      </c>
      <c r="L8" s="42">
        <f>Assumptions!$D$3</f>
        <v>4.3802712869404001E-2</v>
      </c>
      <c r="N8" s="1"/>
      <c r="O8" s="1"/>
      <c r="P8" s="1"/>
      <c r="Q8" s="1"/>
      <c r="R8" s="1"/>
      <c r="S8" s="1"/>
      <c r="T8" s="176"/>
    </row>
    <row r="9" spans="1:20" customFormat="1" x14ac:dyDescent="0.3">
      <c r="B9" s="11"/>
      <c r="C9" s="38"/>
      <c r="D9" s="38"/>
      <c r="E9" s="38"/>
      <c r="F9" s="38"/>
      <c r="G9" s="38"/>
      <c r="H9" s="38"/>
      <c r="I9" s="38"/>
      <c r="J9" s="38"/>
      <c r="K9" s="38"/>
      <c r="L9" s="38"/>
      <c r="N9" s="1"/>
      <c r="O9" s="1"/>
      <c r="P9" s="1"/>
      <c r="Q9" s="1"/>
      <c r="R9" s="1"/>
      <c r="S9" s="1"/>
      <c r="T9" s="177"/>
    </row>
    <row r="10" spans="1:20" customFormat="1" x14ac:dyDescent="0.3">
      <c r="B10" s="201" t="s">
        <v>59</v>
      </c>
      <c r="C10" s="221">
        <f>SUM('Data Sheet'!B12,'Data Sheet'!B14,'Data Sheet'!B15-'Data Sheet'!B13)</f>
        <v>18795.96</v>
      </c>
      <c r="D10" s="221">
        <f>SUM('Data Sheet'!C12,'Data Sheet'!C14,'Data Sheet'!C15-'Data Sheet'!C13)</f>
        <v>21730.29</v>
      </c>
      <c r="E10" s="221">
        <f>SUM('Data Sheet'!D12,'Data Sheet'!D14,'Data Sheet'!D15-'Data Sheet'!D13)</f>
        <v>20675.07</v>
      </c>
      <c r="F10" s="221">
        <f>SUM('Data Sheet'!E12,'Data Sheet'!E14,'Data Sheet'!E15-'Data Sheet'!E13)</f>
        <v>20135.490000000002</v>
      </c>
      <c r="G10" s="221">
        <f>SUM('Data Sheet'!F12,'Data Sheet'!F14,'Data Sheet'!F15-'Data Sheet'!F13)</f>
        <v>20679.899999999998</v>
      </c>
      <c r="H10" s="38">
        <f>H7*H11</f>
        <v>22533.94062383088</v>
      </c>
      <c r="I10" s="38">
        <f t="shared" ref="I10:L10" si="2">I7*I11</f>
        <v>23520.988354792746</v>
      </c>
      <c r="J10" s="38">
        <f t="shared" si="2"/>
        <v>24551.271454102327</v>
      </c>
      <c r="K10" s="38">
        <f t="shared" si="2"/>
        <v>25626.683748185169</v>
      </c>
      <c r="L10" s="38">
        <f t="shared" si="2"/>
        <v>26749.202018201948</v>
      </c>
      <c r="N10" s="1"/>
      <c r="O10" s="1"/>
      <c r="P10" s="1"/>
      <c r="Q10" s="1"/>
      <c r="R10" s="1"/>
      <c r="S10" s="1"/>
      <c r="T10" s="178"/>
    </row>
    <row r="11" spans="1:20" customFormat="1" ht="15" thickBot="1" x14ac:dyDescent="0.35">
      <c r="B11" s="202" t="s">
        <v>60</v>
      </c>
      <c r="C11" s="42">
        <f t="shared" ref="C11:G11" si="3">C10/C7</f>
        <v>0.64588086847039028</v>
      </c>
      <c r="D11" s="42">
        <f t="shared" si="3"/>
        <v>0.63007185854800107</v>
      </c>
      <c r="E11" s="42">
        <f t="shared" si="3"/>
        <v>0.58248280801121743</v>
      </c>
      <c r="F11" s="42">
        <f t="shared" si="3"/>
        <v>0.59386880405077391</v>
      </c>
      <c r="G11" s="42">
        <f t="shared" si="3"/>
        <v>0.5811647744996703</v>
      </c>
      <c r="H11" s="42">
        <f>Assumptions!$D$11</f>
        <v>0.60669382271601058</v>
      </c>
      <c r="I11" s="42">
        <f>Assumptions!$D$11</f>
        <v>0.60669382271601058</v>
      </c>
      <c r="J11" s="42">
        <f>Assumptions!$D$11</f>
        <v>0.60669382271601058</v>
      </c>
      <c r="K11" s="42">
        <f>Assumptions!$D$11</f>
        <v>0.60669382271601058</v>
      </c>
      <c r="L11" s="42">
        <f>Assumptions!$D$11</f>
        <v>0.60669382271601058</v>
      </c>
      <c r="N11" s="1"/>
      <c r="O11" s="1"/>
      <c r="P11" s="1"/>
      <c r="Q11" s="1"/>
      <c r="R11" s="1"/>
      <c r="S11" s="1"/>
      <c r="T11" s="178"/>
    </row>
    <row r="12" spans="1:20" customFormat="1" x14ac:dyDescent="0.3">
      <c r="B12" s="11"/>
      <c r="C12" s="38"/>
      <c r="D12" s="38"/>
      <c r="E12" s="38"/>
      <c r="F12" s="38"/>
      <c r="G12" s="38"/>
      <c r="H12" s="38"/>
      <c r="I12" s="38"/>
      <c r="J12" s="38"/>
      <c r="K12" s="38"/>
      <c r="L12" s="38"/>
      <c r="N12" s="1"/>
      <c r="O12" s="1"/>
      <c r="P12" s="1"/>
      <c r="Q12" s="1"/>
      <c r="R12" s="1"/>
      <c r="S12" s="1"/>
      <c r="T12" s="178"/>
    </row>
    <row r="13" spans="1:20" customFormat="1" ht="15" thickBot="1" x14ac:dyDescent="0.35">
      <c r="B13" s="201" t="s">
        <v>62</v>
      </c>
      <c r="C13" s="38">
        <f t="shared" ref="C13:L13" si="4">C7-C10</f>
        <v>10305.32</v>
      </c>
      <c r="D13" s="38">
        <f t="shared" si="4"/>
        <v>12758.299999999996</v>
      </c>
      <c r="E13" s="38">
        <f t="shared" si="4"/>
        <v>14819.660000000003</v>
      </c>
      <c r="F13" s="38">
        <f t="shared" si="4"/>
        <v>13770.130000000001</v>
      </c>
      <c r="G13" s="38">
        <f t="shared" si="4"/>
        <v>14903.640000000003</v>
      </c>
      <c r="H13" s="38">
        <f t="shared" si="4"/>
        <v>14608.254961666076</v>
      </c>
      <c r="I13" s="38">
        <f t="shared" si="4"/>
        <v>15248.136159274982</v>
      </c>
      <c r="J13" s="38">
        <f t="shared" si="4"/>
        <v>15916.045889253281</v>
      </c>
      <c r="K13" s="38">
        <f t="shared" si="4"/>
        <v>16613.211877356502</v>
      </c>
      <c r="L13" s="38">
        <f t="shared" si="4"/>
        <v>17340.915627058923</v>
      </c>
      <c r="N13" s="1"/>
      <c r="O13" s="1"/>
      <c r="P13" s="1"/>
      <c r="Q13" s="1"/>
      <c r="R13" s="1"/>
      <c r="S13" s="1"/>
      <c r="T13" s="178"/>
    </row>
    <row r="14" spans="1:20" customFormat="1" x14ac:dyDescent="0.3">
      <c r="B14" s="11" t="s">
        <v>63</v>
      </c>
      <c r="C14" s="42">
        <f t="shared" ref="C14:G14" si="5">C13/C7</f>
        <v>0.35411913152960972</v>
      </c>
      <c r="D14" s="42">
        <f t="shared" si="5"/>
        <v>0.36992814145199898</v>
      </c>
      <c r="E14" s="42">
        <f t="shared" si="5"/>
        <v>0.41751719198878262</v>
      </c>
      <c r="F14" s="42">
        <f t="shared" si="5"/>
        <v>0.40613119594922614</v>
      </c>
      <c r="G14" s="42">
        <f t="shared" si="5"/>
        <v>0.4188352255003297</v>
      </c>
      <c r="H14" s="42">
        <f>1-H11</f>
        <v>0.39330617728398942</v>
      </c>
      <c r="I14" s="42">
        <f t="shared" ref="I14:L14" si="6">1-I11</f>
        <v>0.39330617728398942</v>
      </c>
      <c r="J14" s="42">
        <f t="shared" si="6"/>
        <v>0.39330617728398942</v>
      </c>
      <c r="K14" s="42">
        <f t="shared" si="6"/>
        <v>0.39330617728398942</v>
      </c>
      <c r="L14" s="42">
        <f t="shared" si="6"/>
        <v>0.39330617728398942</v>
      </c>
      <c r="M14" s="18"/>
      <c r="N14" s="1"/>
      <c r="O14" s="1"/>
      <c r="P14" s="1"/>
      <c r="Q14" s="1"/>
      <c r="R14" s="1"/>
      <c r="S14" s="1"/>
      <c r="T14" s="175"/>
    </row>
    <row r="15" spans="1:20" customFormat="1" x14ac:dyDescent="0.3">
      <c r="B15" s="11"/>
      <c r="C15" s="38"/>
      <c r="D15" s="38"/>
      <c r="E15" s="38"/>
      <c r="F15" s="38"/>
      <c r="G15" s="38"/>
      <c r="H15" s="38"/>
      <c r="I15" s="38"/>
      <c r="J15" s="38"/>
      <c r="K15" s="38"/>
      <c r="L15" s="38"/>
      <c r="N15" s="1"/>
      <c r="O15" s="1"/>
      <c r="P15" s="1"/>
      <c r="Q15" s="1"/>
      <c r="R15" s="1"/>
      <c r="S15" s="1"/>
      <c r="T15" s="179"/>
    </row>
    <row r="16" spans="1:20" customFormat="1" x14ac:dyDescent="0.3">
      <c r="B16" s="201" t="s">
        <v>64</v>
      </c>
      <c r="C16" s="38">
        <f>SUM('Data Sheet'!B16:B18)</f>
        <v>5501.71</v>
      </c>
      <c r="D16" s="38">
        <f>SUM('Data Sheet'!C16:C18)</f>
        <v>6498.46</v>
      </c>
      <c r="E16" s="38">
        <f>SUM('Data Sheet'!D16:D18)</f>
        <v>7234.68</v>
      </c>
      <c r="F16" s="38">
        <f>SUM('Data Sheet'!E16:E18)</f>
        <v>7763.92</v>
      </c>
      <c r="G16" s="38">
        <f>SUM('Data Sheet'!F16:F18)</f>
        <v>8203.91</v>
      </c>
      <c r="H16" s="38">
        <f>H7*H17</f>
        <v>7731.8251555393681</v>
      </c>
      <c r="I16" s="38">
        <f t="shared" ref="I16:L16" si="7">I7*I17</f>
        <v>8070.5000727838942</v>
      </c>
      <c r="J16" s="38">
        <f t="shared" si="7"/>
        <v>8424.0098701845509</v>
      </c>
      <c r="K16" s="38">
        <f t="shared" si="7"/>
        <v>8793.0043557372719</v>
      </c>
      <c r="L16" s="38">
        <f t="shared" si="7"/>
        <v>9178.1618007910511</v>
      </c>
      <c r="N16" s="1"/>
      <c r="O16" s="1"/>
      <c r="P16" s="1"/>
      <c r="Q16" s="1"/>
      <c r="R16" s="1"/>
      <c r="S16" s="1"/>
      <c r="T16" s="176"/>
    </row>
    <row r="17" spans="2:20" customFormat="1" ht="15" thickBot="1" x14ac:dyDescent="0.35">
      <c r="B17" s="202" t="s">
        <v>65</v>
      </c>
      <c r="C17" s="42">
        <f t="shared" ref="C17:G17" si="8">C16/C7</f>
        <v>0.1890538835405178</v>
      </c>
      <c r="D17" s="42">
        <f t="shared" si="8"/>
        <v>0.18842347570602339</v>
      </c>
      <c r="E17" s="42">
        <f t="shared" si="8"/>
        <v>0.20382406064224182</v>
      </c>
      <c r="F17" s="42">
        <f t="shared" si="8"/>
        <v>0.22898622706206226</v>
      </c>
      <c r="G17" s="42">
        <f t="shared" si="8"/>
        <v>0.23055350872903593</v>
      </c>
      <c r="H17" s="42">
        <f>Assumptions!$D$18</f>
        <v>0.20816823113597627</v>
      </c>
      <c r="I17" s="42">
        <f>Assumptions!$D$18</f>
        <v>0.20816823113597627</v>
      </c>
      <c r="J17" s="42">
        <f>Assumptions!$D$18</f>
        <v>0.20816823113597627</v>
      </c>
      <c r="K17" s="42">
        <f>Assumptions!$D$18</f>
        <v>0.20816823113597627</v>
      </c>
      <c r="L17" s="42">
        <f>Assumptions!$D$18</f>
        <v>0.20816823113597627</v>
      </c>
      <c r="N17" s="1"/>
      <c r="O17" s="1"/>
      <c r="P17" s="1"/>
      <c r="Q17" s="1"/>
      <c r="R17" s="1"/>
      <c r="S17" s="1"/>
      <c r="T17" s="178"/>
    </row>
    <row r="18" spans="2:20" customFormat="1" ht="15" thickBot="1" x14ac:dyDescent="0.35">
      <c r="B18" s="11"/>
      <c r="C18" s="38"/>
      <c r="D18" s="38"/>
      <c r="E18" s="38"/>
      <c r="F18" s="38"/>
      <c r="G18" s="38"/>
      <c r="H18" s="38"/>
      <c r="I18" s="38"/>
      <c r="J18" s="38"/>
      <c r="K18" s="38"/>
      <c r="L18" s="38"/>
      <c r="N18" s="1"/>
      <c r="O18" s="1"/>
      <c r="P18" s="1"/>
      <c r="Q18" s="1"/>
      <c r="R18" s="1"/>
      <c r="S18" s="1"/>
      <c r="T18" s="180"/>
    </row>
    <row r="19" spans="2:20" customFormat="1" x14ac:dyDescent="0.3">
      <c r="B19" s="201" t="s">
        <v>66</v>
      </c>
      <c r="C19" s="38">
        <f t="shared" ref="C19:G19" si="9">C13-C16</f>
        <v>4803.6099999999997</v>
      </c>
      <c r="D19" s="38">
        <f t="shared" si="9"/>
        <v>6259.8399999999956</v>
      </c>
      <c r="E19" s="38">
        <f t="shared" si="9"/>
        <v>7584.9800000000032</v>
      </c>
      <c r="F19" s="38">
        <f t="shared" si="9"/>
        <v>6006.2100000000009</v>
      </c>
      <c r="G19" s="38">
        <f t="shared" si="9"/>
        <v>6699.7300000000032</v>
      </c>
      <c r="H19" s="38">
        <f>H13-H16</f>
        <v>6876.4298061267082</v>
      </c>
      <c r="I19" s="38">
        <f t="shared" ref="I19:L19" si="10">I13-I16</f>
        <v>7177.6360864910876</v>
      </c>
      <c r="J19" s="38">
        <f t="shared" si="10"/>
        <v>7492.0360190687297</v>
      </c>
      <c r="K19" s="38">
        <f t="shared" si="10"/>
        <v>7820.2075216192297</v>
      </c>
      <c r="L19" s="38">
        <f t="shared" si="10"/>
        <v>8162.7538262678718</v>
      </c>
      <c r="N19" s="1"/>
      <c r="O19" s="1"/>
      <c r="P19" s="1"/>
      <c r="Q19" s="1"/>
      <c r="R19" s="1"/>
      <c r="S19" s="1"/>
      <c r="T19" s="177"/>
    </row>
    <row r="20" spans="2:20" customFormat="1" x14ac:dyDescent="0.3">
      <c r="B20" s="203" t="s">
        <v>67</v>
      </c>
      <c r="C20" s="42">
        <f t="shared" ref="C20:G20" si="11">C19/C7</f>
        <v>0.16506524798909189</v>
      </c>
      <c r="D20" s="42">
        <f t="shared" si="11"/>
        <v>0.1815046657459756</v>
      </c>
      <c r="E20" s="42">
        <f t="shared" si="11"/>
        <v>0.2136931313465408</v>
      </c>
      <c r="F20" s="42">
        <f t="shared" si="11"/>
        <v>0.17714496888716386</v>
      </c>
      <c r="G20" s="42">
        <f t="shared" si="11"/>
        <v>0.18828171677129377</v>
      </c>
      <c r="H20" s="42">
        <f>H19/H7</f>
        <v>0.18513794614801318</v>
      </c>
      <c r="I20" s="42">
        <f t="shared" ref="I20:L20" si="12">I19/I7</f>
        <v>0.18513794614801315</v>
      </c>
      <c r="J20" s="42">
        <f t="shared" si="12"/>
        <v>0.18513794614801315</v>
      </c>
      <c r="K20" s="42">
        <f t="shared" si="12"/>
        <v>0.18513794614801315</v>
      </c>
      <c r="L20" s="42">
        <f t="shared" si="12"/>
        <v>0.18513794614801315</v>
      </c>
      <c r="N20" s="1"/>
      <c r="O20" s="1"/>
      <c r="P20" s="1"/>
      <c r="Q20" s="1"/>
      <c r="R20" s="1"/>
      <c r="S20" s="1"/>
      <c r="T20" s="176"/>
    </row>
    <row r="21" spans="2:20" customFormat="1" x14ac:dyDescent="0.3">
      <c r="B21" s="203"/>
      <c r="C21" s="42"/>
      <c r="D21" s="42"/>
      <c r="E21" s="42"/>
      <c r="F21" s="42"/>
      <c r="G21" s="42"/>
      <c r="H21" s="42"/>
      <c r="I21" s="42"/>
      <c r="J21" s="42"/>
      <c r="K21" s="42"/>
      <c r="L21" s="42"/>
      <c r="N21" s="1"/>
      <c r="O21" s="1"/>
      <c r="P21" s="1"/>
      <c r="Q21" s="1"/>
      <c r="R21" s="1"/>
      <c r="S21" s="1"/>
      <c r="T21" s="181"/>
    </row>
    <row r="22" spans="2:20" customFormat="1" x14ac:dyDescent="0.3">
      <c r="B22" s="201" t="s">
        <v>2</v>
      </c>
      <c r="C22" s="43">
        <f>'Data Sheet'!B20</f>
        <v>816.36</v>
      </c>
      <c r="D22" s="43">
        <f>'Data Sheet'!C20</f>
        <v>858.02</v>
      </c>
      <c r="E22" s="43">
        <f>'Data Sheet'!D20</f>
        <v>853</v>
      </c>
      <c r="F22" s="43">
        <f>'Data Sheet'!E20</f>
        <v>1026.3399999999999</v>
      </c>
      <c r="G22" s="43">
        <f>'Data Sheet'!F20</f>
        <v>1228.8499999999999</v>
      </c>
      <c r="H22" s="43">
        <f>H7*H23</f>
        <v>1053.1090680397883</v>
      </c>
      <c r="I22" s="43">
        <f t="shared" ref="I22:L22" si="13">I7*I23</f>
        <v>1099.2381021673009</v>
      </c>
      <c r="J22" s="43">
        <f t="shared" si="13"/>
        <v>1147.3877131316437</v>
      </c>
      <c r="K22" s="43">
        <f t="shared" si="13"/>
        <v>1197.6464076798313</v>
      </c>
      <c r="L22" s="43">
        <f t="shared" si="13"/>
        <v>1250.1065693945043</v>
      </c>
      <c r="N22" s="1"/>
      <c r="O22" s="1"/>
      <c r="P22" s="1"/>
      <c r="Q22" s="1"/>
      <c r="R22" s="1"/>
      <c r="S22" s="1"/>
      <c r="T22" s="176"/>
    </row>
    <row r="23" spans="2:20" customFormat="1" ht="15" thickBot="1" x14ac:dyDescent="0.35">
      <c r="B23" s="204" t="s">
        <v>69</v>
      </c>
      <c r="C23" s="33">
        <f t="shared" ref="C23:G23" si="14">C22/C7</f>
        <v>2.8052374328551871E-2</v>
      </c>
      <c r="D23" s="33">
        <f t="shared" si="14"/>
        <v>2.4878372818372688E-2</v>
      </c>
      <c r="E23" s="33">
        <f t="shared" si="14"/>
        <v>2.4031736542297968E-2</v>
      </c>
      <c r="F23" s="33">
        <f t="shared" si="14"/>
        <v>3.0270497929251843E-2</v>
      </c>
      <c r="G23" s="33">
        <f t="shared" si="14"/>
        <v>3.4534225656019608E-2</v>
      </c>
      <c r="H23" s="42">
        <f>Assumptions!$D$22</f>
        <v>2.8353441454898792E-2</v>
      </c>
      <c r="I23" s="42">
        <f>Assumptions!$D$22</f>
        <v>2.8353441454898792E-2</v>
      </c>
      <c r="J23" s="42">
        <f>Assumptions!$D$22</f>
        <v>2.8353441454898792E-2</v>
      </c>
      <c r="K23" s="42">
        <f>Assumptions!$D$22</f>
        <v>2.8353441454898792E-2</v>
      </c>
      <c r="L23" s="42">
        <f>Assumptions!$D$22</f>
        <v>2.8353441454898792E-2</v>
      </c>
      <c r="N23" s="1"/>
      <c r="O23" s="1"/>
      <c r="P23" s="1"/>
      <c r="Q23" s="1"/>
      <c r="R23" s="1"/>
      <c r="S23" s="1"/>
      <c r="T23" s="178"/>
    </row>
    <row r="24" spans="2:20" customFormat="1" x14ac:dyDescent="0.3">
      <c r="B24" s="11"/>
      <c r="C24" s="38"/>
      <c r="D24" s="38"/>
      <c r="E24" s="38"/>
      <c r="F24" s="38"/>
      <c r="G24" s="38"/>
      <c r="H24" s="38"/>
      <c r="I24" s="38"/>
      <c r="J24" s="38"/>
      <c r="K24" s="38"/>
      <c r="L24" s="38"/>
      <c r="N24" s="1"/>
      <c r="O24" s="1"/>
      <c r="P24" s="1"/>
      <c r="Q24" s="1"/>
      <c r="R24" s="1"/>
      <c r="S24" s="1"/>
    </row>
    <row r="25" spans="2:20" customFormat="1" x14ac:dyDescent="0.3">
      <c r="B25" s="201" t="s">
        <v>94</v>
      </c>
      <c r="C25" s="38">
        <f t="shared" ref="C25:L25" si="15">C19-C22</f>
        <v>3987.2499999999995</v>
      </c>
      <c r="D25" s="38">
        <f t="shared" si="15"/>
        <v>5401.8199999999961</v>
      </c>
      <c r="E25" s="38">
        <f t="shared" si="15"/>
        <v>6731.9800000000032</v>
      </c>
      <c r="F25" s="38">
        <f t="shared" si="15"/>
        <v>4979.8700000000008</v>
      </c>
      <c r="G25" s="38">
        <f t="shared" si="15"/>
        <v>5470.8800000000028</v>
      </c>
      <c r="H25" s="38">
        <f t="shared" si="15"/>
        <v>5823.3207380869198</v>
      </c>
      <c r="I25" s="38">
        <f t="shared" si="15"/>
        <v>6078.3979843237867</v>
      </c>
      <c r="J25" s="38">
        <f t="shared" si="15"/>
        <v>6344.6483059370858</v>
      </c>
      <c r="K25" s="38">
        <f t="shared" si="15"/>
        <v>6622.5611139393986</v>
      </c>
      <c r="L25" s="38">
        <f t="shared" si="15"/>
        <v>6912.647256873368</v>
      </c>
    </row>
    <row r="26" spans="2:20" customFormat="1" x14ac:dyDescent="0.3">
      <c r="B26" s="11" t="s">
        <v>95</v>
      </c>
      <c r="C26" s="42">
        <f t="shared" ref="C26:L26" si="16">C25/C7</f>
        <v>0.13701287366054002</v>
      </c>
      <c r="D26" s="42">
        <f t="shared" si="16"/>
        <v>0.15662629292760291</v>
      </c>
      <c r="E26" s="42">
        <f t="shared" si="16"/>
        <v>0.18966139480424285</v>
      </c>
      <c r="F26" s="42">
        <f t="shared" si="16"/>
        <v>0.14687447095791201</v>
      </c>
      <c r="G26" s="42">
        <f t="shared" si="16"/>
        <v>0.15374749111527417</v>
      </c>
      <c r="H26" s="42">
        <f t="shared" si="16"/>
        <v>0.15678450469311439</v>
      </c>
      <c r="I26" s="42">
        <f t="shared" si="16"/>
        <v>0.15678450469311436</v>
      </c>
      <c r="J26" s="42">
        <f t="shared" si="16"/>
        <v>0.15678450469311436</v>
      </c>
      <c r="K26" s="42">
        <f t="shared" si="16"/>
        <v>0.15678450469311436</v>
      </c>
      <c r="L26" s="42">
        <f t="shared" si="16"/>
        <v>0.15678450469311436</v>
      </c>
    </row>
    <row r="27" spans="2:20" customFormat="1" x14ac:dyDescent="0.3">
      <c r="B27" s="11"/>
      <c r="C27" s="38"/>
      <c r="D27" s="38"/>
      <c r="E27" s="38"/>
      <c r="F27" s="38"/>
      <c r="G27" s="38"/>
      <c r="H27" s="38"/>
      <c r="I27" s="38"/>
      <c r="J27" s="38"/>
      <c r="K27" s="38"/>
      <c r="L27" s="38"/>
    </row>
    <row r="28" spans="2:20" customFormat="1" x14ac:dyDescent="0.3">
      <c r="B28" s="201" t="s">
        <v>3</v>
      </c>
      <c r="C28" s="39">
        <f>'Data Sheet'!B21</f>
        <v>95.41</v>
      </c>
      <c r="D28" s="39">
        <f>'Data Sheet'!C21</f>
        <v>144.44999999999999</v>
      </c>
      <c r="E28" s="39">
        <f>'Data Sheet'!D21</f>
        <v>205.17</v>
      </c>
      <c r="F28" s="39">
        <f>'Data Sheet'!E21</f>
        <v>227.02</v>
      </c>
      <c r="G28" s="39">
        <f>'Data Sheet'!F21</f>
        <v>195.41</v>
      </c>
      <c r="H28" s="38">
        <f>H7*H29</f>
        <v>188.93800733196534</v>
      </c>
      <c r="I28" s="38">
        <f t="shared" ref="I28:L28" si="17">I7*I29</f>
        <v>197.21400461724477</v>
      </c>
      <c r="J28" s="38">
        <f t="shared" si="17"/>
        <v>205.85251303531928</v>
      </c>
      <c r="K28" s="38">
        <f t="shared" si="17"/>
        <v>214.86941155725063</v>
      </c>
      <c r="L28" s="38">
        <f t="shared" si="17"/>
        <v>224.2812746961107</v>
      </c>
      <c r="O28" s="32"/>
    </row>
    <row r="29" spans="2:20" customFormat="1" ht="15" thickBot="1" x14ac:dyDescent="0.35">
      <c r="B29" s="202" t="s">
        <v>68</v>
      </c>
      <c r="C29" s="42">
        <f t="shared" ref="C29:G29" si="18">C28/C7</f>
        <v>3.2785499469439143E-3</v>
      </c>
      <c r="D29" s="42">
        <f t="shared" si="18"/>
        <v>4.1883417095335005E-3</v>
      </c>
      <c r="E29" s="42">
        <f t="shared" si="18"/>
        <v>5.7802947085384216E-3</v>
      </c>
      <c r="F29" s="42">
        <f t="shared" si="18"/>
        <v>6.6956451467337858E-3</v>
      </c>
      <c r="G29" s="42">
        <f t="shared" si="18"/>
        <v>5.4915840301442741E-3</v>
      </c>
      <c r="H29" s="42">
        <f>Assumptions!$D$25</f>
        <v>5.0868831083787794E-3</v>
      </c>
      <c r="I29" s="42">
        <f>Assumptions!$D$25</f>
        <v>5.0868831083787794E-3</v>
      </c>
      <c r="J29" s="42">
        <f>Assumptions!$D$25</f>
        <v>5.0868831083787794E-3</v>
      </c>
      <c r="K29" s="42">
        <f>Assumptions!$D$25</f>
        <v>5.0868831083787794E-3</v>
      </c>
      <c r="L29" s="42">
        <f>Assumptions!$D$25</f>
        <v>5.0868831083787794E-3</v>
      </c>
    </row>
    <row r="30" spans="2:20" customFormat="1" x14ac:dyDescent="0.3">
      <c r="B30" s="11"/>
      <c r="C30" s="38"/>
      <c r="D30" s="38"/>
      <c r="E30" s="38"/>
      <c r="F30" s="38"/>
      <c r="G30" s="38"/>
      <c r="H30" s="38"/>
      <c r="I30" s="38"/>
      <c r="J30" s="38"/>
      <c r="K30" s="38"/>
      <c r="L30" s="38"/>
    </row>
    <row r="31" spans="2:20" customFormat="1" x14ac:dyDescent="0.3">
      <c r="B31" s="201" t="s">
        <v>70</v>
      </c>
      <c r="C31" s="38">
        <f t="shared" ref="C31:L31" si="19">C25-C28</f>
        <v>3891.8399999999997</v>
      </c>
      <c r="D31" s="38">
        <f t="shared" si="19"/>
        <v>5257.3699999999963</v>
      </c>
      <c r="E31" s="38">
        <f t="shared" si="19"/>
        <v>6526.8100000000031</v>
      </c>
      <c r="F31" s="38">
        <f t="shared" si="19"/>
        <v>4752.8500000000004</v>
      </c>
      <c r="G31" s="38">
        <f t="shared" si="19"/>
        <v>5275.470000000003</v>
      </c>
      <c r="H31" s="38">
        <f t="shared" si="19"/>
        <v>5634.3827307549545</v>
      </c>
      <c r="I31" s="38">
        <f t="shared" si="19"/>
        <v>5881.1839797065422</v>
      </c>
      <c r="J31" s="38">
        <f t="shared" si="19"/>
        <v>6138.7957929017666</v>
      </c>
      <c r="K31" s="38">
        <f t="shared" si="19"/>
        <v>6407.6917023821479</v>
      </c>
      <c r="L31" s="38">
        <f t="shared" si="19"/>
        <v>6688.3659821772571</v>
      </c>
    </row>
    <row r="32" spans="2:20" customFormat="1" ht="15" thickBot="1" x14ac:dyDescent="0.35">
      <c r="B32" s="202" t="s">
        <v>71</v>
      </c>
      <c r="C32" s="42">
        <f t="shared" ref="C32:L32" si="20">C31/C7</f>
        <v>0.13373432371359609</v>
      </c>
      <c r="D32" s="42">
        <f t="shared" si="20"/>
        <v>0.15243795121806941</v>
      </c>
      <c r="E32" s="42">
        <f t="shared" si="20"/>
        <v>0.18388110009570441</v>
      </c>
      <c r="F32" s="42">
        <f t="shared" si="20"/>
        <v>0.14017882581117821</v>
      </c>
      <c r="G32" s="42">
        <f t="shared" si="20"/>
        <v>0.1482559070851299</v>
      </c>
      <c r="H32" s="42">
        <f t="shared" si="20"/>
        <v>0.1516976215847356</v>
      </c>
      <c r="I32" s="42">
        <f t="shared" si="20"/>
        <v>0.1516976215847356</v>
      </c>
      <c r="J32" s="42">
        <f t="shared" si="20"/>
        <v>0.1516976215847356</v>
      </c>
      <c r="K32" s="42">
        <f t="shared" si="20"/>
        <v>0.15169762158473557</v>
      </c>
      <c r="L32" s="42">
        <f t="shared" si="20"/>
        <v>0.1516976215847356</v>
      </c>
    </row>
    <row r="33" spans="1:15" customFormat="1" x14ac:dyDescent="0.3">
      <c r="B33" s="11"/>
      <c r="C33" s="38"/>
      <c r="D33" s="38"/>
      <c r="E33" s="38"/>
      <c r="F33" s="38"/>
      <c r="G33" s="38"/>
      <c r="H33" s="38"/>
      <c r="I33" s="38"/>
      <c r="J33" s="38"/>
      <c r="K33" s="38"/>
      <c r="L33" s="38"/>
    </row>
    <row r="34" spans="1:15" customFormat="1" x14ac:dyDescent="0.3">
      <c r="B34" s="201" t="s">
        <v>5</v>
      </c>
      <c r="C34" s="40">
        <f>'Data Sheet'!B23</f>
        <v>1102.9100000000001</v>
      </c>
      <c r="D34" s="40">
        <f>'Data Sheet'!C23</f>
        <v>1493.5</v>
      </c>
      <c r="E34" s="40">
        <f>'Data Sheet'!D23</f>
        <v>1790.08</v>
      </c>
      <c r="F34" s="40">
        <f>'Data Sheet'!E23</f>
        <v>1393.36</v>
      </c>
      <c r="G34" s="40">
        <f>'Data Sheet'!F23</f>
        <v>1608.75</v>
      </c>
      <c r="H34" s="38">
        <f>H31*H35</f>
        <v>1622.5282821692524</v>
      </c>
      <c r="I34" s="38">
        <f t="shared" ref="I34:L34" si="21">I31*I35</f>
        <v>1693.5994226355995</v>
      </c>
      <c r="J34" s="38">
        <f t="shared" si="21"/>
        <v>1767.7836718610949</v>
      </c>
      <c r="K34" s="38">
        <f t="shared" si="21"/>
        <v>1845.2173924548472</v>
      </c>
      <c r="L34" s="38">
        <f t="shared" si="21"/>
        <v>1926.0429200781775</v>
      </c>
    </row>
    <row r="35" spans="1:15" customFormat="1" x14ac:dyDescent="0.3">
      <c r="B35" s="203" t="s">
        <v>72</v>
      </c>
      <c r="C35" s="42">
        <f t="shared" ref="C35:G35" si="22">C34/C31</f>
        <v>0.28339037576056575</v>
      </c>
      <c r="D35" s="42">
        <f t="shared" si="22"/>
        <v>0.28407739991668857</v>
      </c>
      <c r="E35" s="42">
        <f t="shared" si="22"/>
        <v>0.27426568262290446</v>
      </c>
      <c r="F35" s="42">
        <f t="shared" si="22"/>
        <v>0.29316304953869782</v>
      </c>
      <c r="G35" s="42">
        <f t="shared" si="22"/>
        <v>0.30494913249435579</v>
      </c>
      <c r="H35" s="42">
        <f>Assumptions!$D$28</f>
        <v>0.28796912806664249</v>
      </c>
      <c r="I35" s="42">
        <f>Assumptions!$D$28</f>
        <v>0.28796912806664249</v>
      </c>
      <c r="J35" s="42">
        <f>Assumptions!$D$28</f>
        <v>0.28796912806664249</v>
      </c>
      <c r="K35" s="42">
        <f>Assumptions!$D$28</f>
        <v>0.28796912806664249</v>
      </c>
      <c r="L35" s="42">
        <f>Assumptions!$D$28</f>
        <v>0.28796912806664249</v>
      </c>
    </row>
    <row r="36" spans="1:15" customFormat="1" x14ac:dyDescent="0.3">
      <c r="B36" s="11"/>
      <c r="C36" s="38"/>
      <c r="D36" s="38"/>
      <c r="E36" s="38"/>
      <c r="F36" s="38"/>
      <c r="G36" s="38"/>
      <c r="H36" s="38"/>
      <c r="I36" s="38"/>
      <c r="J36" s="38"/>
      <c r="K36" s="38"/>
      <c r="L36" s="38"/>
    </row>
    <row r="37" spans="1:15" customFormat="1" x14ac:dyDescent="0.3">
      <c r="B37" s="205" t="s">
        <v>73</v>
      </c>
      <c r="C37" s="41">
        <f t="shared" ref="C37:G37" si="23">C31-C34</f>
        <v>2788.9299999999994</v>
      </c>
      <c r="D37" s="41">
        <f t="shared" si="23"/>
        <v>3763.8699999999963</v>
      </c>
      <c r="E37" s="41">
        <f t="shared" si="23"/>
        <v>4736.7300000000032</v>
      </c>
      <c r="F37" s="41">
        <f t="shared" si="23"/>
        <v>3359.4900000000007</v>
      </c>
      <c r="G37" s="41">
        <f t="shared" si="23"/>
        <v>3666.720000000003</v>
      </c>
      <c r="H37" s="41">
        <f>H31-H34</f>
        <v>4011.8544485857019</v>
      </c>
      <c r="I37" s="41">
        <f t="shared" ref="I37:L37" si="24">I31-I34</f>
        <v>4187.5845570709425</v>
      </c>
      <c r="J37" s="41">
        <f t="shared" si="24"/>
        <v>4371.0121210406714</v>
      </c>
      <c r="K37" s="41">
        <f t="shared" si="24"/>
        <v>4562.474309927301</v>
      </c>
      <c r="L37" s="41">
        <f t="shared" si="24"/>
        <v>4762.3230620990798</v>
      </c>
    </row>
    <row r="38" spans="1:15" customFormat="1" ht="15" thickBot="1" x14ac:dyDescent="0.35">
      <c r="B38" s="206" t="s">
        <v>74</v>
      </c>
      <c r="C38" s="155">
        <f t="shared" ref="C38:L38" si="25">C37/C7</f>
        <v>9.5835303464314958E-2</v>
      </c>
      <c r="D38" s="155">
        <f t="shared" si="25"/>
        <v>0.10913377438741324</v>
      </c>
      <c r="E38" s="155">
        <f t="shared" si="25"/>
        <v>0.13344882465650543</v>
      </c>
      <c r="F38" s="155">
        <f t="shared" si="25"/>
        <v>9.9083573755619284E-2</v>
      </c>
      <c r="G38" s="155">
        <f t="shared" si="25"/>
        <v>0.10304539683235571</v>
      </c>
      <c r="H38" s="155">
        <f t="shared" si="25"/>
        <v>0.10801338976719579</v>
      </c>
      <c r="I38" s="155">
        <f t="shared" si="25"/>
        <v>0.10801338976719579</v>
      </c>
      <c r="J38" s="155">
        <f t="shared" si="25"/>
        <v>0.10801338976719579</v>
      </c>
      <c r="K38" s="155">
        <f t="shared" si="25"/>
        <v>0.10801338976719579</v>
      </c>
      <c r="L38" s="155">
        <f t="shared" si="25"/>
        <v>0.10801338976719581</v>
      </c>
    </row>
    <row r="39" spans="1:15" customFormat="1" ht="15" thickTop="1" x14ac:dyDescent="0.3">
      <c r="B39" s="11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5" customFormat="1" x14ac:dyDescent="0.3">
      <c r="A40" s="1"/>
      <c r="B40" s="11"/>
      <c r="C40" s="38"/>
      <c r="D40" s="38"/>
      <c r="E40" s="38"/>
      <c r="F40" s="38"/>
      <c r="G40" s="38"/>
      <c r="H40" s="38"/>
      <c r="I40" s="38"/>
      <c r="J40" s="38"/>
      <c r="K40" s="38"/>
      <c r="L40" s="38"/>
    </row>
    <row r="41" spans="1:15" customFormat="1" x14ac:dyDescent="0.3">
      <c r="B41" s="11" t="s">
        <v>202</v>
      </c>
      <c r="C41" s="34">
        <f>'Data Sheet'!$B$2</f>
        <v>95.92</v>
      </c>
      <c r="D41" s="34">
        <f>'Data Sheet'!$B$2</f>
        <v>95.92</v>
      </c>
      <c r="E41" s="34">
        <f>'Data Sheet'!$B$2</f>
        <v>95.92</v>
      </c>
      <c r="F41" s="34">
        <f>'Data Sheet'!$B$2</f>
        <v>95.92</v>
      </c>
      <c r="G41" s="34">
        <f>'Data Sheet'!$B$2</f>
        <v>95.92</v>
      </c>
      <c r="H41" s="34">
        <f>'Data Sheet'!$B$2</f>
        <v>95.92</v>
      </c>
      <c r="I41" s="34">
        <f>'Data Sheet'!$B$2</f>
        <v>95.92</v>
      </c>
      <c r="J41" s="34">
        <f>'Data Sheet'!$B$2</f>
        <v>95.92</v>
      </c>
      <c r="K41" s="34">
        <f>'Data Sheet'!$B$2</f>
        <v>95.92</v>
      </c>
      <c r="L41" s="34">
        <f>'Data Sheet'!$B$2</f>
        <v>95.92</v>
      </c>
    </row>
    <row r="42" spans="1:15" customFormat="1" x14ac:dyDescent="0.3">
      <c r="B42" s="11"/>
      <c r="C42" s="35"/>
      <c r="D42" s="35"/>
      <c r="E42" s="35"/>
      <c r="F42" s="35"/>
      <c r="G42" s="35"/>
      <c r="H42" s="35"/>
      <c r="I42" s="35"/>
      <c r="J42" s="35"/>
      <c r="K42" s="35"/>
      <c r="L42" s="35"/>
    </row>
    <row r="43" spans="1:15" customFormat="1" x14ac:dyDescent="0.3">
      <c r="B43" s="11" t="s">
        <v>19</v>
      </c>
      <c r="C43" s="38">
        <f>C37/C41</f>
        <v>29.075583819849868</v>
      </c>
      <c r="D43" s="38">
        <f t="shared" ref="D43:L43" si="26">D37/D41</f>
        <v>39.239678899082527</v>
      </c>
      <c r="E43" s="38">
        <f t="shared" si="26"/>
        <v>49.38208924103423</v>
      </c>
      <c r="F43" s="38">
        <f t="shared" si="26"/>
        <v>35.023874061718104</v>
      </c>
      <c r="G43" s="38">
        <f t="shared" si="26"/>
        <v>38.226855713094274</v>
      </c>
      <c r="H43" s="38">
        <f t="shared" si="26"/>
        <v>41.825004676664946</v>
      </c>
      <c r="I43" s="38">
        <f t="shared" si="26"/>
        <v>43.657053347278385</v>
      </c>
      <c r="J43" s="38">
        <f t="shared" si="26"/>
        <v>45.569350719773475</v>
      </c>
      <c r="K43" s="38">
        <f t="shared" si="26"/>
        <v>47.565411904996878</v>
      </c>
      <c r="L43" s="38">
        <f t="shared" si="26"/>
        <v>49.648905985186403</v>
      </c>
    </row>
    <row r="44" spans="1:15" customFormat="1" x14ac:dyDescent="0.3">
      <c r="B44" s="126"/>
      <c r="O44" s="1"/>
    </row>
    <row r="45" spans="1:15" customFormat="1" x14ac:dyDescent="0.3">
      <c r="B45" s="11"/>
    </row>
    <row r="46" spans="1:15" customFormat="1" x14ac:dyDescent="0.3">
      <c r="B46" s="11"/>
    </row>
    <row r="47" spans="1:15" customFormat="1" x14ac:dyDescent="0.3">
      <c r="B47" s="201" t="s">
        <v>15</v>
      </c>
      <c r="L47" s="44" t="s">
        <v>147</v>
      </c>
    </row>
    <row r="48" spans="1:15" customFormat="1" x14ac:dyDescent="0.3">
      <c r="B48" s="9" t="s">
        <v>14</v>
      </c>
      <c r="C48" s="48">
        <v>44651</v>
      </c>
      <c r="D48" s="48">
        <v>45016</v>
      </c>
      <c r="E48" s="48">
        <v>45382</v>
      </c>
      <c r="F48" s="48">
        <v>45747</v>
      </c>
      <c r="G48" s="48">
        <v>46112</v>
      </c>
      <c r="H48" s="159">
        <v>46477</v>
      </c>
      <c r="I48" s="159">
        <v>46843</v>
      </c>
      <c r="J48" s="159">
        <v>47208</v>
      </c>
      <c r="K48" s="159">
        <v>47573</v>
      </c>
      <c r="L48" s="159">
        <v>47938</v>
      </c>
    </row>
    <row r="49" spans="1:7" customFormat="1" x14ac:dyDescent="0.3">
      <c r="B49" s="50"/>
      <c r="C49" s="30"/>
      <c r="D49" s="30"/>
      <c r="E49" s="30"/>
      <c r="F49" s="30"/>
      <c r="G49" s="30"/>
    </row>
    <row r="50" spans="1:7" s="23" customFormat="1" x14ac:dyDescent="0.3">
      <c r="A50"/>
      <c r="B50" s="11" t="s">
        <v>165</v>
      </c>
      <c r="C50" s="38">
        <v>96</v>
      </c>
      <c r="D50" s="38">
        <v>96</v>
      </c>
      <c r="E50" s="38">
        <v>96</v>
      </c>
      <c r="F50" s="38">
        <v>96</v>
      </c>
      <c r="G50" s="38">
        <v>96</v>
      </c>
    </row>
    <row r="51" spans="1:7" x14ac:dyDescent="0.3">
      <c r="B51" s="11" t="s">
        <v>7</v>
      </c>
      <c r="C51" s="38">
        <v>13716</v>
      </c>
      <c r="D51" s="38">
        <v>15896</v>
      </c>
      <c r="E51" s="38">
        <v>18632</v>
      </c>
      <c r="F51" s="38">
        <v>19304</v>
      </c>
      <c r="G51" s="38">
        <v>21276</v>
      </c>
    </row>
    <row r="52" spans="1:7" x14ac:dyDescent="0.3">
      <c r="A52" s="1" t="s">
        <v>135</v>
      </c>
      <c r="B52" s="207" t="s">
        <v>21</v>
      </c>
      <c r="C52" s="144">
        <v>1587</v>
      </c>
      <c r="D52" s="144">
        <v>1933</v>
      </c>
      <c r="E52" s="144">
        <v>2474</v>
      </c>
      <c r="F52" s="144">
        <v>2290</v>
      </c>
      <c r="G52" s="144">
        <v>3929</v>
      </c>
    </row>
    <row r="53" spans="1:7" x14ac:dyDescent="0.3">
      <c r="B53" s="11" t="s">
        <v>109</v>
      </c>
      <c r="C53" s="38">
        <v>45</v>
      </c>
      <c r="D53" s="38">
        <v>76</v>
      </c>
      <c r="E53" s="38">
        <v>54</v>
      </c>
      <c r="F53" s="38">
        <v>260</v>
      </c>
      <c r="G53" s="38">
        <v>1247</v>
      </c>
    </row>
    <row r="54" spans="1:7" x14ac:dyDescent="0.3">
      <c r="A54" s="1" t="s">
        <v>135</v>
      </c>
      <c r="B54" s="11" t="s">
        <v>110</v>
      </c>
      <c r="C54" s="38">
        <v>731</v>
      </c>
      <c r="D54" s="38">
        <v>896</v>
      </c>
      <c r="E54" s="38">
        <v>1053</v>
      </c>
      <c r="F54" s="38">
        <v>604</v>
      </c>
      <c r="G54" s="38">
        <v>1046</v>
      </c>
    </row>
    <row r="55" spans="1:7" x14ac:dyDescent="0.3">
      <c r="B55" s="11" t="s">
        <v>111</v>
      </c>
      <c r="C55" s="38">
        <v>811</v>
      </c>
      <c r="D55" s="38">
        <v>960</v>
      </c>
      <c r="E55" s="38">
        <v>1367</v>
      </c>
      <c r="F55" s="38">
        <v>1427</v>
      </c>
      <c r="G55" s="38">
        <v>1636</v>
      </c>
    </row>
    <row r="56" spans="1:7" x14ac:dyDescent="0.3">
      <c r="B56" s="11" t="s">
        <v>112</v>
      </c>
      <c r="C56" s="38">
        <v>0</v>
      </c>
      <c r="D56" s="38">
        <v>0</v>
      </c>
      <c r="E56" s="38">
        <v>0</v>
      </c>
      <c r="F56" s="38">
        <v>0</v>
      </c>
      <c r="G56" s="38">
        <v>0</v>
      </c>
    </row>
    <row r="57" spans="1:7" x14ac:dyDescent="0.3">
      <c r="B57" s="207" t="s">
        <v>22</v>
      </c>
      <c r="C57" s="38">
        <v>7560</v>
      </c>
      <c r="D57" s="38">
        <v>7854</v>
      </c>
      <c r="E57" s="38">
        <v>8698</v>
      </c>
      <c r="F57" s="38">
        <v>8665</v>
      </c>
      <c r="G57" s="38">
        <v>9218</v>
      </c>
    </row>
    <row r="58" spans="1:7" x14ac:dyDescent="0.3">
      <c r="B58" s="11" t="s">
        <v>113</v>
      </c>
      <c r="C58" s="38">
        <v>388</v>
      </c>
      <c r="D58" s="38">
        <v>454</v>
      </c>
      <c r="E58" s="38">
        <v>695</v>
      </c>
      <c r="F58" s="38">
        <v>659</v>
      </c>
      <c r="G58" s="38">
        <v>643</v>
      </c>
    </row>
    <row r="59" spans="1:7" x14ac:dyDescent="0.3">
      <c r="B59" s="11" t="s">
        <v>114</v>
      </c>
      <c r="C59" s="38">
        <v>4164</v>
      </c>
      <c r="D59" s="38">
        <v>3635</v>
      </c>
      <c r="E59" s="38">
        <v>3831</v>
      </c>
      <c r="F59" s="38">
        <v>3848</v>
      </c>
      <c r="G59" s="38">
        <v>3863</v>
      </c>
    </row>
    <row r="60" spans="1:7" x14ac:dyDescent="0.3">
      <c r="B60" s="11" t="s">
        <v>115</v>
      </c>
      <c r="C60" s="38">
        <v>76</v>
      </c>
      <c r="D60" s="38">
        <v>108</v>
      </c>
      <c r="E60" s="38">
        <v>154</v>
      </c>
      <c r="F60" s="38">
        <v>174</v>
      </c>
      <c r="G60" s="38">
        <v>107</v>
      </c>
    </row>
    <row r="61" spans="1:7" x14ac:dyDescent="0.3">
      <c r="B61" s="11" t="s">
        <v>116</v>
      </c>
      <c r="C61" s="38">
        <v>2932</v>
      </c>
      <c r="D61" s="38">
        <v>3657</v>
      </c>
      <c r="E61" s="38">
        <v>4017</v>
      </c>
      <c r="F61" s="38">
        <v>3984</v>
      </c>
      <c r="G61" s="38">
        <v>4604</v>
      </c>
    </row>
    <row r="62" spans="1:7" ht="15" thickBot="1" x14ac:dyDescent="0.35">
      <c r="B62" s="208" t="s">
        <v>117</v>
      </c>
      <c r="C62" s="161">
        <v>22958</v>
      </c>
      <c r="D62" s="161">
        <v>25779</v>
      </c>
      <c r="E62" s="161">
        <v>29901</v>
      </c>
      <c r="F62" s="161">
        <v>30355</v>
      </c>
      <c r="G62" s="161">
        <v>34519</v>
      </c>
    </row>
    <row r="63" spans="1:7" ht="15" thickTop="1" x14ac:dyDescent="0.3">
      <c r="B63" s="207" t="s">
        <v>118</v>
      </c>
      <c r="C63" s="144">
        <v>5519</v>
      </c>
      <c r="D63" s="144">
        <v>5770</v>
      </c>
      <c r="E63" s="144">
        <v>7147</v>
      </c>
      <c r="F63" s="144">
        <v>9220</v>
      </c>
      <c r="G63" s="144">
        <v>9640</v>
      </c>
    </row>
    <row r="64" spans="1:7" x14ac:dyDescent="0.3">
      <c r="B64" s="11" t="s">
        <v>119</v>
      </c>
      <c r="C64" s="38">
        <v>644</v>
      </c>
      <c r="D64" s="38">
        <v>804</v>
      </c>
      <c r="E64" s="38">
        <v>1126</v>
      </c>
      <c r="F64" s="38">
        <v>1035</v>
      </c>
      <c r="G64" s="38">
        <v>1204</v>
      </c>
    </row>
    <row r="65" spans="1:7" x14ac:dyDescent="0.3">
      <c r="B65" s="11" t="s">
        <v>120</v>
      </c>
      <c r="C65" s="38">
        <v>2325</v>
      </c>
      <c r="D65" s="38">
        <v>2883</v>
      </c>
      <c r="E65" s="38">
        <v>3390</v>
      </c>
      <c r="F65" s="38">
        <v>3771</v>
      </c>
      <c r="G65" s="38">
        <v>4124</v>
      </c>
    </row>
    <row r="66" spans="1:7" x14ac:dyDescent="0.3">
      <c r="B66" s="11" t="s">
        <v>121</v>
      </c>
      <c r="C66" s="38">
        <v>4531</v>
      </c>
      <c r="D66" s="38">
        <v>4825</v>
      </c>
      <c r="E66" s="38">
        <v>5422</v>
      </c>
      <c r="F66" s="38">
        <v>7576</v>
      </c>
      <c r="G66" s="38">
        <v>8210</v>
      </c>
    </row>
    <row r="67" spans="1:7" x14ac:dyDescent="0.3">
      <c r="B67" s="11" t="s">
        <v>122</v>
      </c>
      <c r="C67" s="38">
        <v>253</v>
      </c>
      <c r="D67" s="38">
        <v>270</v>
      </c>
      <c r="E67" s="38">
        <v>298</v>
      </c>
      <c r="F67" s="38">
        <v>325</v>
      </c>
      <c r="G67" s="38">
        <v>351</v>
      </c>
    </row>
    <row r="68" spans="1:7" x14ac:dyDescent="0.3">
      <c r="B68" s="11" t="s">
        <v>123</v>
      </c>
      <c r="C68" s="38">
        <v>113</v>
      </c>
      <c r="D68" s="38">
        <v>146</v>
      </c>
      <c r="E68" s="38">
        <v>175</v>
      </c>
      <c r="F68" s="38">
        <v>203</v>
      </c>
      <c r="G68" s="38">
        <v>216</v>
      </c>
    </row>
    <row r="69" spans="1:7" x14ac:dyDescent="0.3">
      <c r="B69" s="11" t="s">
        <v>124</v>
      </c>
      <c r="C69" s="38">
        <v>32</v>
      </c>
      <c r="D69" s="38">
        <v>36</v>
      </c>
      <c r="E69" s="38">
        <v>40</v>
      </c>
      <c r="F69" s="38">
        <v>34</v>
      </c>
      <c r="G69" s="38">
        <v>45</v>
      </c>
    </row>
    <row r="70" spans="1:7" x14ac:dyDescent="0.3">
      <c r="B70" s="11" t="s">
        <v>125</v>
      </c>
      <c r="C70" s="38">
        <v>345</v>
      </c>
      <c r="D70" s="38">
        <v>422</v>
      </c>
      <c r="E70" s="38">
        <v>850</v>
      </c>
      <c r="F70" s="38">
        <v>827</v>
      </c>
      <c r="G70" s="38">
        <v>833</v>
      </c>
    </row>
    <row r="71" spans="1:7" x14ac:dyDescent="0.3">
      <c r="B71" s="11" t="s">
        <v>126</v>
      </c>
      <c r="C71" s="38">
        <v>294</v>
      </c>
      <c r="D71" s="38">
        <v>289</v>
      </c>
      <c r="E71" s="38">
        <v>321</v>
      </c>
      <c r="F71" s="38">
        <v>328</v>
      </c>
      <c r="G71" s="38">
        <v>335</v>
      </c>
    </row>
    <row r="72" spans="1:7" x14ac:dyDescent="0.3">
      <c r="B72" s="207" t="s">
        <v>127</v>
      </c>
      <c r="C72" s="38">
        <v>8538</v>
      </c>
      <c r="D72" s="38">
        <v>9676</v>
      </c>
      <c r="E72" s="38">
        <v>11622</v>
      </c>
      <c r="F72" s="38">
        <v>14099</v>
      </c>
      <c r="G72" s="38">
        <v>15316</v>
      </c>
    </row>
    <row r="73" spans="1:7" x14ac:dyDescent="0.3">
      <c r="A73" s="1" t="s">
        <v>135</v>
      </c>
      <c r="B73" s="11" t="s">
        <v>128</v>
      </c>
      <c r="C73" s="38">
        <v>3019</v>
      </c>
      <c r="D73" s="38">
        <v>3905</v>
      </c>
      <c r="E73" s="38">
        <v>4475</v>
      </c>
      <c r="F73" s="38">
        <v>4879</v>
      </c>
      <c r="G73" s="38">
        <v>5676</v>
      </c>
    </row>
    <row r="74" spans="1:7" x14ac:dyDescent="0.3">
      <c r="A74" s="1" t="s">
        <v>135</v>
      </c>
      <c r="B74" s="11" t="s">
        <v>129</v>
      </c>
      <c r="C74" s="38">
        <v>426</v>
      </c>
      <c r="D74" s="38">
        <v>1020</v>
      </c>
      <c r="E74" s="38">
        <v>2698</v>
      </c>
      <c r="F74" s="38">
        <v>1254</v>
      </c>
      <c r="G74" s="38">
        <v>1849</v>
      </c>
    </row>
    <row r="75" spans="1:7" x14ac:dyDescent="0.3">
      <c r="B75" s="11" t="s">
        <v>8</v>
      </c>
      <c r="C75" s="38">
        <v>3248</v>
      </c>
      <c r="D75" s="38">
        <v>4262</v>
      </c>
      <c r="E75" s="38">
        <v>4588</v>
      </c>
      <c r="F75" s="38">
        <v>4725</v>
      </c>
      <c r="G75" s="38">
        <v>7062</v>
      </c>
    </row>
    <row r="76" spans="1:7" x14ac:dyDescent="0.3">
      <c r="A76" s="1" t="s">
        <v>135</v>
      </c>
      <c r="B76" s="207" t="s">
        <v>23</v>
      </c>
      <c r="C76" s="38">
        <v>13765</v>
      </c>
      <c r="D76" s="38">
        <v>14728</v>
      </c>
      <c r="E76" s="38">
        <v>15468</v>
      </c>
      <c r="F76" s="38">
        <v>15156</v>
      </c>
      <c r="G76" s="38">
        <v>15968</v>
      </c>
    </row>
    <row r="77" spans="1:7" x14ac:dyDescent="0.3">
      <c r="B77" s="207" t="s">
        <v>130</v>
      </c>
      <c r="C77" s="38">
        <v>6153</v>
      </c>
      <c r="D77" s="38">
        <v>6211</v>
      </c>
      <c r="E77" s="38">
        <v>5923</v>
      </c>
      <c r="F77" s="38">
        <v>6719</v>
      </c>
      <c r="G77" s="38">
        <v>5744</v>
      </c>
    </row>
    <row r="78" spans="1:7" x14ac:dyDescent="0.3">
      <c r="B78" s="207" t="s">
        <v>166</v>
      </c>
      <c r="C78" s="38">
        <v>3871</v>
      </c>
      <c r="D78" s="38">
        <v>4637</v>
      </c>
      <c r="E78" s="38">
        <v>4889</v>
      </c>
      <c r="F78" s="38">
        <v>4314</v>
      </c>
      <c r="G78" s="38">
        <v>4462</v>
      </c>
    </row>
    <row r="79" spans="1:7" x14ac:dyDescent="0.3">
      <c r="B79" s="11" t="s">
        <v>131</v>
      </c>
      <c r="C79" s="38">
        <v>864</v>
      </c>
      <c r="D79" s="38">
        <v>844</v>
      </c>
      <c r="E79" s="38">
        <v>1084</v>
      </c>
      <c r="F79" s="38">
        <v>782</v>
      </c>
      <c r="G79" s="38">
        <v>1074</v>
      </c>
    </row>
    <row r="80" spans="1:7" x14ac:dyDescent="0.3">
      <c r="B80" s="11" t="s">
        <v>132</v>
      </c>
      <c r="C80" s="38">
        <v>8</v>
      </c>
      <c r="D80" s="38">
        <v>12</v>
      </c>
      <c r="E80" s="38">
        <v>17</v>
      </c>
      <c r="F80" s="38">
        <v>22</v>
      </c>
      <c r="G80" s="38">
        <v>27</v>
      </c>
    </row>
    <row r="81" spans="2:7" x14ac:dyDescent="0.3">
      <c r="B81" s="11" t="s">
        <v>133</v>
      </c>
      <c r="C81" s="38">
        <v>2869</v>
      </c>
      <c r="D81" s="38">
        <v>3024</v>
      </c>
      <c r="E81" s="38">
        <v>3555</v>
      </c>
      <c r="F81" s="38">
        <v>3319</v>
      </c>
      <c r="G81" s="38">
        <v>4662</v>
      </c>
    </row>
    <row r="82" spans="2:7" ht="15" thickBot="1" x14ac:dyDescent="0.35">
      <c r="B82" s="208" t="s">
        <v>134</v>
      </c>
      <c r="C82" s="161">
        <v>22958</v>
      </c>
      <c r="D82" s="161">
        <v>25779</v>
      </c>
      <c r="E82" s="161">
        <v>29901</v>
      </c>
      <c r="F82" s="161">
        <v>30355</v>
      </c>
      <c r="G82" s="161">
        <v>34519</v>
      </c>
    </row>
    <row r="83" spans="2:7" ht="15" thickTop="1" x14ac:dyDescent="0.3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D578-A421-4551-B45F-0B219884EF48}">
  <dimension ref="A1:L78"/>
  <sheetViews>
    <sheetView topLeftCell="A59" zoomScale="85" zoomScaleNormal="85" workbookViewId="0">
      <selection activeCell="K70" sqref="K70"/>
    </sheetView>
  </sheetViews>
  <sheetFormatPr defaultRowHeight="14.4" x14ac:dyDescent="0.3"/>
  <cols>
    <col min="1" max="1" width="23.77734375" customWidth="1"/>
    <col min="2" max="2" width="20.88671875" bestFit="1" customWidth="1"/>
    <col min="3" max="3" width="9.77734375" customWidth="1"/>
    <col min="7" max="7" width="9.6640625" customWidth="1"/>
  </cols>
  <sheetData>
    <row r="1" spans="1:12" x14ac:dyDescent="0.3">
      <c r="F1" s="1"/>
      <c r="G1" s="1"/>
      <c r="H1" s="1"/>
      <c r="I1" s="1"/>
      <c r="J1" s="1"/>
      <c r="K1" s="1"/>
      <c r="L1" s="1"/>
    </row>
    <row r="2" spans="1:12" x14ac:dyDescent="0.3">
      <c r="A2">
        <v>1</v>
      </c>
      <c r="B2" s="146" t="s">
        <v>78</v>
      </c>
      <c r="C2" s="146"/>
      <c r="D2" s="147" t="s">
        <v>79</v>
      </c>
      <c r="E2" s="147"/>
      <c r="F2" s="1"/>
      <c r="G2" s="1"/>
      <c r="H2" s="1"/>
      <c r="I2" s="1"/>
      <c r="J2" s="1"/>
      <c r="K2" s="1"/>
      <c r="L2" s="1"/>
    </row>
    <row r="3" spans="1:12" x14ac:dyDescent="0.3">
      <c r="B3" s="185" t="s">
        <v>77</v>
      </c>
      <c r="C3" s="184"/>
      <c r="D3" s="83">
        <f>IF(B3=B6,C6,IF(B3=B7,C7,IF(B3=B8,C8)))</f>
        <v>4.3802712869404001E-2</v>
      </c>
      <c r="E3" s="14"/>
      <c r="F3" s="1"/>
      <c r="G3" s="1"/>
      <c r="H3" s="1"/>
      <c r="I3" s="1"/>
      <c r="J3" s="1"/>
      <c r="K3" s="1"/>
      <c r="L3" s="1"/>
    </row>
    <row r="4" spans="1:12" x14ac:dyDescent="0.3">
      <c r="F4" s="1"/>
      <c r="G4" s="1"/>
      <c r="H4" s="1"/>
      <c r="I4" s="1"/>
      <c r="J4" s="1"/>
      <c r="K4" s="1"/>
      <c r="L4" s="1"/>
    </row>
    <row r="5" spans="1:12" x14ac:dyDescent="0.3">
      <c r="B5" t="s">
        <v>0</v>
      </c>
      <c r="F5" s="1"/>
      <c r="G5" s="1"/>
      <c r="H5" s="1"/>
      <c r="I5" s="1"/>
      <c r="J5" s="1"/>
      <c r="K5" s="1"/>
      <c r="L5" s="1"/>
    </row>
    <row r="6" spans="1:12" x14ac:dyDescent="0.3">
      <c r="B6" t="s">
        <v>75</v>
      </c>
      <c r="C6" s="12">
        <f>C8+20%*C8</f>
        <v>5.2563255443284801E-2</v>
      </c>
      <c r="F6" s="1"/>
      <c r="G6" s="1"/>
      <c r="H6" s="1"/>
      <c r="I6" s="1"/>
      <c r="J6" s="1"/>
      <c r="K6" s="1"/>
      <c r="L6" s="1"/>
    </row>
    <row r="7" spans="1:12" x14ac:dyDescent="0.3">
      <c r="B7" t="s">
        <v>76</v>
      </c>
      <c r="C7" s="12">
        <f>C8-20%*C8</f>
        <v>3.5042170295523201E-2</v>
      </c>
      <c r="F7" s="1"/>
      <c r="G7" s="1"/>
      <c r="H7" s="1"/>
      <c r="I7" s="1"/>
      <c r="J7" s="1"/>
      <c r="K7" s="1"/>
      <c r="L7" s="1"/>
    </row>
    <row r="8" spans="1:12" x14ac:dyDescent="0.3">
      <c r="B8" t="s">
        <v>77</v>
      </c>
      <c r="C8" s="12">
        <f>AVERAGE('Financial Statement'!C8:G8)</f>
        <v>4.3802712869404001E-2</v>
      </c>
      <c r="F8" s="1"/>
      <c r="G8" s="1"/>
      <c r="H8" s="1"/>
      <c r="I8" s="1"/>
      <c r="J8" s="1"/>
      <c r="K8" s="1"/>
      <c r="L8" s="1"/>
    </row>
    <row r="9" spans="1:12" x14ac:dyDescent="0.3">
      <c r="F9" s="1"/>
      <c r="G9" s="1"/>
      <c r="H9" s="1"/>
      <c r="I9" s="1"/>
      <c r="J9" s="1"/>
      <c r="K9" s="1"/>
      <c r="L9" s="1"/>
    </row>
    <row r="10" spans="1:12" x14ac:dyDescent="0.3">
      <c r="A10">
        <v>2</v>
      </c>
      <c r="B10" s="146" t="s">
        <v>78</v>
      </c>
      <c r="C10" s="146"/>
      <c r="D10" s="147" t="s">
        <v>79</v>
      </c>
      <c r="E10" s="147"/>
      <c r="F10" s="1"/>
      <c r="G10" s="1"/>
      <c r="H10" s="1"/>
      <c r="I10" s="1"/>
      <c r="J10" s="1"/>
      <c r="K10" s="1"/>
      <c r="L10" s="1"/>
    </row>
    <row r="11" spans="1:12" x14ac:dyDescent="0.3">
      <c r="B11" s="148" t="s">
        <v>77</v>
      </c>
      <c r="C11" s="148"/>
      <c r="D11" s="12">
        <f>IF(B11=B13,C13,IF(B11=B14,C14,IF(B11=B15,C15)))</f>
        <v>0.60669382271601058</v>
      </c>
      <c r="F11" s="1"/>
      <c r="G11" s="1"/>
      <c r="H11" s="1"/>
      <c r="I11" s="1"/>
      <c r="J11" s="1"/>
      <c r="K11" s="1"/>
      <c r="L11" s="1"/>
    </row>
    <row r="12" spans="1:12" x14ac:dyDescent="0.3">
      <c r="B12" t="s">
        <v>59</v>
      </c>
      <c r="F12" s="1"/>
      <c r="G12" s="1"/>
      <c r="H12" s="1"/>
      <c r="I12" s="1"/>
      <c r="J12" s="1"/>
      <c r="K12" s="1"/>
      <c r="L12" s="1"/>
    </row>
    <row r="13" spans="1:12" x14ac:dyDescent="0.3">
      <c r="B13" t="s">
        <v>75</v>
      </c>
      <c r="C13" s="12">
        <f>C15+20%*C15</f>
        <v>0.72803258725921272</v>
      </c>
    </row>
    <row r="14" spans="1:12" x14ac:dyDescent="0.3">
      <c r="B14" t="s">
        <v>76</v>
      </c>
      <c r="C14" s="12">
        <f>C15-20%*C15</f>
        <v>0.48535505817280844</v>
      </c>
    </row>
    <row r="15" spans="1:12" x14ac:dyDescent="0.3">
      <c r="B15" t="s">
        <v>77</v>
      </c>
      <c r="C15" s="12">
        <f>AVERAGE('Financial Statement'!C11:G11)</f>
        <v>0.60669382271601058</v>
      </c>
    </row>
    <row r="17" spans="1:12" x14ac:dyDescent="0.3">
      <c r="A17">
        <v>3</v>
      </c>
      <c r="B17" s="146" t="s">
        <v>64</v>
      </c>
      <c r="C17" s="146"/>
      <c r="D17" s="147" t="s">
        <v>79</v>
      </c>
      <c r="E17" s="147"/>
    </row>
    <row r="18" spans="1:12" x14ac:dyDescent="0.3">
      <c r="B18" s="145" t="s">
        <v>148</v>
      </c>
      <c r="C18" s="145"/>
      <c r="D18" s="12">
        <f>AVERAGE('Financial Statement'!C17:G17)</f>
        <v>0.20816823113597627</v>
      </c>
    </row>
    <row r="21" spans="1:12" x14ac:dyDescent="0.3">
      <c r="A21">
        <v>4</v>
      </c>
      <c r="B21" s="146" t="s">
        <v>2</v>
      </c>
      <c r="C21" s="146"/>
      <c r="D21" s="147" t="s">
        <v>79</v>
      </c>
      <c r="E21" s="147"/>
    </row>
    <row r="22" spans="1:12" x14ac:dyDescent="0.3">
      <c r="B22" s="145" t="s">
        <v>81</v>
      </c>
      <c r="C22" s="145"/>
      <c r="D22" s="12">
        <f>AVERAGE('Financial Statement'!C23:G23)</f>
        <v>2.8353441454898792E-2</v>
      </c>
    </row>
    <row r="24" spans="1:12" x14ac:dyDescent="0.3">
      <c r="A24">
        <v>4</v>
      </c>
      <c r="B24" s="146" t="s">
        <v>3</v>
      </c>
      <c r="C24" s="146"/>
      <c r="D24" s="146" t="s">
        <v>79</v>
      </c>
      <c r="E24" s="146"/>
      <c r="F24" s="188"/>
      <c r="G24" s="188"/>
      <c r="H24" s="188"/>
      <c r="I24" s="188"/>
      <c r="J24" s="188"/>
      <c r="K24" s="188"/>
      <c r="L24" s="188"/>
    </row>
    <row r="25" spans="1:12" x14ac:dyDescent="0.3">
      <c r="B25" s="145" t="s">
        <v>84</v>
      </c>
      <c r="C25" s="145"/>
      <c r="D25" s="12">
        <f>AVERAGE('Financial Statement'!C29:G29)</f>
        <v>5.0868831083787794E-3</v>
      </c>
      <c r="F25" s="188"/>
      <c r="G25" s="188"/>
      <c r="H25" s="188"/>
      <c r="I25" s="188"/>
      <c r="J25" s="188"/>
      <c r="K25" s="188"/>
      <c r="L25" s="188"/>
    </row>
    <row r="27" spans="1:12" x14ac:dyDescent="0.3">
      <c r="A27">
        <v>5</v>
      </c>
      <c r="B27" s="146" t="s">
        <v>5</v>
      </c>
      <c r="C27" s="146"/>
      <c r="D27" s="146" t="s">
        <v>79</v>
      </c>
      <c r="E27" s="146"/>
    </row>
    <row r="28" spans="1:12" x14ac:dyDescent="0.3">
      <c r="B28" s="145" t="s">
        <v>61</v>
      </c>
      <c r="C28" s="145"/>
      <c r="D28" s="12">
        <f>AVERAGE('Financial Statement'!C35:G35)</f>
        <v>0.28796912806664249</v>
      </c>
    </row>
    <row r="30" spans="1:12" x14ac:dyDescent="0.3">
      <c r="A30" s="58" t="s">
        <v>108</v>
      </c>
      <c r="B30" s="59"/>
      <c r="G30" s="44" t="s">
        <v>147</v>
      </c>
    </row>
    <row r="31" spans="1:12" x14ac:dyDescent="0.3">
      <c r="A31" s="60" t="s">
        <v>137</v>
      </c>
      <c r="B31" s="4">
        <v>44286</v>
      </c>
      <c r="C31" s="4">
        <v>44651</v>
      </c>
      <c r="D31" s="4">
        <v>45016</v>
      </c>
      <c r="E31" s="4">
        <v>45382</v>
      </c>
      <c r="F31" s="4">
        <v>45747</v>
      </c>
      <c r="G31" s="162"/>
    </row>
    <row r="32" spans="1:12" x14ac:dyDescent="0.3">
      <c r="A32" s="51" t="s">
        <v>104</v>
      </c>
      <c r="B32" s="52">
        <f>-'Data Sheet'!B81</f>
        <v>551</v>
      </c>
      <c r="C32" s="52">
        <f>-'Data Sheet'!C81</f>
        <v>1446</v>
      </c>
      <c r="D32" s="52">
        <f>-'Data Sheet'!D81</f>
        <v>2496</v>
      </c>
      <c r="E32" s="52">
        <f>-'Data Sheet'!E81</f>
        <v>1830</v>
      </c>
      <c r="F32" s="52">
        <f>-'Data Sheet'!F81</f>
        <v>1487</v>
      </c>
      <c r="G32" s="163"/>
    </row>
    <row r="33" spans="1:11" x14ac:dyDescent="0.3">
      <c r="A33" s="53"/>
      <c r="B33" s="54"/>
      <c r="C33" s="54"/>
      <c r="D33" s="54"/>
      <c r="E33" s="54"/>
      <c r="F33" s="54"/>
      <c r="G33" s="164"/>
    </row>
    <row r="34" spans="1:11" x14ac:dyDescent="0.3">
      <c r="A34" s="53" t="s">
        <v>105</v>
      </c>
      <c r="B34" s="55">
        <f>B32/'Financial Statement'!C7</f>
        <v>1.8933875073536284E-2</v>
      </c>
      <c r="C34" s="55">
        <f>C32/'Financial Statement'!D7</f>
        <v>4.1926909740293825E-2</v>
      </c>
      <c r="D34" s="55">
        <f>D32/'Financial Statement'!E7</f>
        <v>7.0320298252726524E-2</v>
      </c>
      <c r="E34" s="55">
        <f>E32/'Financial Statement'!F7</f>
        <v>5.3973353090136678E-2</v>
      </c>
      <c r="F34" s="55">
        <f>F32/'Financial Statement'!G7</f>
        <v>4.1788984457420478E-2</v>
      </c>
      <c r="G34" s="165"/>
      <c r="K34" s="49"/>
    </row>
    <row r="35" spans="1:11" x14ac:dyDescent="0.3">
      <c r="A35" s="53"/>
      <c r="B35" s="54"/>
      <c r="C35" s="54"/>
      <c r="D35" s="54"/>
      <c r="E35" s="54"/>
      <c r="F35" s="54"/>
      <c r="G35" s="164"/>
    </row>
    <row r="36" spans="1:11" x14ac:dyDescent="0.3">
      <c r="A36" s="53" t="s">
        <v>106</v>
      </c>
      <c r="B36" s="55">
        <f>AVERAGE($B$34:$G$34)</f>
        <v>4.5388684122822751E-2</v>
      </c>
      <c r="C36" s="55"/>
      <c r="D36" s="55"/>
      <c r="E36" s="55"/>
      <c r="F36" s="55"/>
      <c r="G36" s="165"/>
    </row>
    <row r="37" spans="1:11" x14ac:dyDescent="0.3">
      <c r="A37" s="54"/>
      <c r="B37" s="55"/>
      <c r="C37" s="55"/>
      <c r="D37" s="55"/>
      <c r="E37" s="55"/>
      <c r="F37" s="55"/>
      <c r="G37" s="165"/>
    </row>
    <row r="38" spans="1:11" x14ac:dyDescent="0.3">
      <c r="A38" s="172" t="s">
        <v>137</v>
      </c>
      <c r="B38" s="159">
        <v>46477</v>
      </c>
      <c r="C38" s="159">
        <v>46843</v>
      </c>
      <c r="D38" s="159">
        <v>47208</v>
      </c>
      <c r="E38" s="159">
        <v>47573</v>
      </c>
      <c r="F38" s="159">
        <v>47938</v>
      </c>
      <c r="G38" s="164"/>
    </row>
    <row r="39" spans="1:11" x14ac:dyDescent="0.3">
      <c r="A39" s="56" t="s">
        <v>107</v>
      </c>
      <c r="B39" s="57">
        <f>$B$36*'Financial Statement'!H7</f>
        <v>1685.835383058223</v>
      </c>
      <c r="C39" s="57">
        <f>$B$36*'Financial Statement'!I7</f>
        <v>1759.679546287404</v>
      </c>
      <c r="D39" s="57">
        <f>$B$36*'Financial Statement'!J7</f>
        <v>1836.7582841955943</v>
      </c>
      <c r="E39" s="57">
        <f>$B$36*'Financial Statement'!K7</f>
        <v>1917.2132799287133</v>
      </c>
      <c r="F39" s="57">
        <f>$B$36*'Financial Statement'!L7</f>
        <v>2001.1924227388392</v>
      </c>
      <c r="G39" s="166"/>
    </row>
    <row r="42" spans="1:11" x14ac:dyDescent="0.3">
      <c r="A42" s="108" t="s">
        <v>140</v>
      </c>
      <c r="B42" s="109"/>
      <c r="G42" s="44" t="s">
        <v>147</v>
      </c>
    </row>
    <row r="43" spans="1:11" x14ac:dyDescent="0.3">
      <c r="A43" s="60" t="s">
        <v>137</v>
      </c>
      <c r="B43" s="4">
        <v>44286</v>
      </c>
      <c r="C43" s="4">
        <v>44651</v>
      </c>
      <c r="D43" s="4">
        <v>45016</v>
      </c>
      <c r="E43" s="4">
        <v>45382</v>
      </c>
      <c r="F43" s="4">
        <v>45747</v>
      </c>
      <c r="G43" s="162"/>
    </row>
    <row r="44" spans="1:11" x14ac:dyDescent="0.3">
      <c r="A44" s="63" t="s">
        <v>18</v>
      </c>
      <c r="B44" s="64">
        <f>'Data Sheet'!B58</f>
        <v>6153</v>
      </c>
      <c r="C44" s="64">
        <f>'Data Sheet'!C58</f>
        <v>6211</v>
      </c>
      <c r="D44" s="64">
        <f>'Data Sheet'!D58</f>
        <v>5923</v>
      </c>
      <c r="E44" s="64">
        <f>'Data Sheet'!E58</f>
        <v>6719</v>
      </c>
      <c r="F44" s="64">
        <f>'Data Sheet'!F58</f>
        <v>5744</v>
      </c>
      <c r="G44" s="167"/>
    </row>
    <row r="45" spans="1:11" x14ac:dyDescent="0.3">
      <c r="A45" s="66"/>
      <c r="B45" s="67"/>
      <c r="C45" s="67"/>
      <c r="D45" s="67"/>
      <c r="E45" s="67"/>
      <c r="F45" s="67"/>
      <c r="G45" s="168"/>
    </row>
    <row r="46" spans="1:11" x14ac:dyDescent="0.3">
      <c r="A46" s="69" t="s">
        <v>138</v>
      </c>
      <c r="B46" s="64">
        <f>'Data Sheet'!B59</f>
        <v>3871</v>
      </c>
      <c r="C46" s="64">
        <f>'Data Sheet'!C59</f>
        <v>4637</v>
      </c>
      <c r="D46" s="64">
        <f>'Data Sheet'!D59</f>
        <v>4889</v>
      </c>
      <c r="E46" s="64">
        <f>'Data Sheet'!E59</f>
        <v>4314</v>
      </c>
      <c r="F46" s="64">
        <f>'Data Sheet'!F59</f>
        <v>4462</v>
      </c>
      <c r="G46" s="167"/>
    </row>
    <row r="47" spans="1:11" x14ac:dyDescent="0.3">
      <c r="A47" s="66"/>
      <c r="B47" s="67"/>
      <c r="C47" s="67"/>
      <c r="D47" s="67"/>
      <c r="E47" s="67"/>
      <c r="F47" s="67"/>
      <c r="G47" s="168"/>
    </row>
    <row r="48" spans="1:11" x14ac:dyDescent="0.3">
      <c r="A48" s="66" t="s">
        <v>139</v>
      </c>
      <c r="B48" s="64">
        <f>'Data Sheet'!B40</f>
        <v>4164</v>
      </c>
      <c r="C48" s="64">
        <f>'Data Sheet'!C40</f>
        <v>3635</v>
      </c>
      <c r="D48" s="64">
        <f>'Data Sheet'!D40</f>
        <v>3831</v>
      </c>
      <c r="E48" s="64">
        <f>'Data Sheet'!E40</f>
        <v>3848</v>
      </c>
      <c r="F48" s="64">
        <f>'Data Sheet'!F40</f>
        <v>3863</v>
      </c>
      <c r="G48" s="167"/>
    </row>
    <row r="49" spans="1:8" x14ac:dyDescent="0.3">
      <c r="A49" s="66"/>
      <c r="B49" s="67"/>
      <c r="C49" s="67"/>
      <c r="D49" s="67"/>
      <c r="E49" s="67"/>
      <c r="F49" s="67"/>
      <c r="G49" s="168"/>
    </row>
    <row r="50" spans="1:8" x14ac:dyDescent="0.3">
      <c r="A50" s="66" t="s">
        <v>136</v>
      </c>
      <c r="B50" s="70">
        <f>SUM(B44,B46)-B48</f>
        <v>5860</v>
      </c>
      <c r="C50" s="70">
        <f t="shared" ref="C50:G50" si="0">SUM(C44,C46)-C48</f>
        <v>7213</v>
      </c>
      <c r="D50" s="70">
        <f t="shared" si="0"/>
        <v>6981</v>
      </c>
      <c r="E50" s="70">
        <f t="shared" si="0"/>
        <v>7185</v>
      </c>
      <c r="F50" s="70">
        <f t="shared" si="0"/>
        <v>6343</v>
      </c>
      <c r="G50" s="169"/>
    </row>
    <row r="51" spans="1:8" x14ac:dyDescent="0.3">
      <c r="A51" s="66"/>
      <c r="B51" s="67"/>
      <c r="C51" s="67"/>
      <c r="D51" s="67"/>
      <c r="E51" s="67"/>
      <c r="F51" s="67"/>
      <c r="G51" s="168"/>
    </row>
    <row r="52" spans="1:8" x14ac:dyDescent="0.3">
      <c r="A52" s="66" t="s">
        <v>141</v>
      </c>
      <c r="B52" s="71" t="s">
        <v>142</v>
      </c>
      <c r="C52" s="70">
        <f>C50-B50</f>
        <v>1353</v>
      </c>
      <c r="D52" s="70">
        <f t="shared" ref="D52:G52" si="1">D50-C50</f>
        <v>-232</v>
      </c>
      <c r="E52" s="70">
        <f t="shared" si="1"/>
        <v>204</v>
      </c>
      <c r="F52" s="70">
        <f t="shared" si="1"/>
        <v>-842</v>
      </c>
      <c r="G52" s="169"/>
    </row>
    <row r="53" spans="1:8" x14ac:dyDescent="0.3">
      <c r="A53" s="66"/>
      <c r="B53" s="1"/>
      <c r="C53" s="1"/>
      <c r="D53" s="1"/>
      <c r="E53" s="1"/>
      <c r="F53" s="1"/>
      <c r="G53" s="164"/>
    </row>
    <row r="54" spans="1:8" x14ac:dyDescent="0.3">
      <c r="A54" s="66" t="s">
        <v>143</v>
      </c>
      <c r="B54" s="73">
        <f>B50/'Financial Statement'!C7</f>
        <v>0.20136571312327156</v>
      </c>
      <c r="C54" s="73">
        <f>C50/'Financial Statement'!D7</f>
        <v>0.20914163205860259</v>
      </c>
      <c r="D54" s="73">
        <f>D50/'Financial Statement'!E7</f>
        <v>0.19667708417559451</v>
      </c>
      <c r="E54" s="73">
        <f>E50/'Financial Statement'!F7</f>
        <v>0.2119117715588153</v>
      </c>
      <c r="F54" s="73">
        <f>F50/'Financial Statement'!G7</f>
        <v>0.17825657593370417</v>
      </c>
      <c r="G54" s="170"/>
    </row>
    <row r="55" spans="1:8" x14ac:dyDescent="0.3">
      <c r="A55" s="66"/>
      <c r="B55" s="1"/>
      <c r="C55" s="1"/>
      <c r="D55" s="1"/>
      <c r="E55" s="1"/>
      <c r="F55" s="1"/>
      <c r="G55" s="164"/>
    </row>
    <row r="56" spans="1:8" x14ac:dyDescent="0.3">
      <c r="A56" s="66" t="s">
        <v>144</v>
      </c>
      <c r="B56" s="74">
        <f>AVERAGE(B54:G54)</f>
        <v>0.19947055536999761</v>
      </c>
      <c r="C56" s="1"/>
      <c r="D56" s="1"/>
      <c r="E56" s="1"/>
      <c r="F56" s="1"/>
      <c r="G56" s="164"/>
    </row>
    <row r="57" spans="1:8" x14ac:dyDescent="0.3">
      <c r="A57" s="172" t="s">
        <v>137</v>
      </c>
      <c r="B57" s="159">
        <v>46477</v>
      </c>
      <c r="C57" s="159">
        <v>46843</v>
      </c>
      <c r="D57" s="159">
        <v>47208</v>
      </c>
      <c r="E57" s="159">
        <v>47573</v>
      </c>
      <c r="F57" s="159">
        <v>47938</v>
      </c>
      <c r="G57" s="164"/>
    </row>
    <row r="58" spans="1:8" x14ac:dyDescent="0.3">
      <c r="A58" s="66" t="s">
        <v>145</v>
      </c>
      <c r="B58" s="70">
        <f>$B$56*'Financial Statement'!H7</f>
        <v>7408.774381100151</v>
      </c>
      <c r="C58" s="70">
        <f>$B$56*'Financial Statement'!I7</f>
        <v>7733.2987980296784</v>
      </c>
      <c r="D58" s="70">
        <f>$B$56*'Financial Statement'!J7</f>
        <v>8072.038264813079</v>
      </c>
      <c r="E58" s="70">
        <f>$B$56*'Financial Statement'!K7</f>
        <v>8425.6154391975288</v>
      </c>
      <c r="F58" s="70">
        <f>$B$56*'Financial Statement'!L7</f>
        <v>8794.6802530287168</v>
      </c>
      <c r="G58" s="164"/>
    </row>
    <row r="59" spans="1:8" x14ac:dyDescent="0.3">
      <c r="A59" s="66"/>
      <c r="B59" s="1"/>
      <c r="C59" s="1"/>
      <c r="D59" s="1"/>
      <c r="E59" s="1"/>
      <c r="F59" s="1"/>
      <c r="G59" s="164"/>
    </row>
    <row r="60" spans="1:8" x14ac:dyDescent="0.3">
      <c r="A60" s="75" t="s">
        <v>146</v>
      </c>
      <c r="B60" s="78">
        <f>B58-F50</f>
        <v>1065.774381100151</v>
      </c>
      <c r="C60" s="78">
        <f>C58-B58</f>
        <v>324.52441692952743</v>
      </c>
      <c r="D60" s="78">
        <f t="shared" ref="D60:F60" si="2">D58-C58</f>
        <v>338.73946678340053</v>
      </c>
      <c r="E60" s="78">
        <f t="shared" si="2"/>
        <v>353.57717438444979</v>
      </c>
      <c r="F60" s="76">
        <f t="shared" si="2"/>
        <v>369.06481383118808</v>
      </c>
      <c r="G60" s="164"/>
    </row>
    <row r="62" spans="1:8" x14ac:dyDescent="0.3">
      <c r="A62" s="110" t="s">
        <v>163</v>
      </c>
    </row>
    <row r="63" spans="1:8" x14ac:dyDescent="0.3">
      <c r="A63" t="s">
        <v>157</v>
      </c>
      <c r="B63" s="102">
        <v>6.7500000000000004E-2</v>
      </c>
      <c r="C63" s="105" t="s">
        <v>162</v>
      </c>
      <c r="D63" s="104"/>
      <c r="E63" s="104"/>
      <c r="F63" s="104"/>
      <c r="G63" s="104"/>
      <c r="H63" s="62"/>
    </row>
    <row r="64" spans="1:8" x14ac:dyDescent="0.3">
      <c r="A64" t="s">
        <v>158</v>
      </c>
      <c r="B64" s="103">
        <v>0.28999999999999998</v>
      </c>
      <c r="C64" t="s">
        <v>197</v>
      </c>
      <c r="D64" s="1"/>
      <c r="E64" s="1"/>
      <c r="F64" s="1"/>
      <c r="G64" s="1"/>
      <c r="H64" s="72"/>
    </row>
    <row r="65" spans="1:8" x14ac:dyDescent="0.3">
      <c r="A65" t="s">
        <v>159</v>
      </c>
      <c r="B65" s="102">
        <v>6.7500000000000004E-2</v>
      </c>
      <c r="C65" s="75" t="s">
        <v>160</v>
      </c>
      <c r="D65" s="106"/>
      <c r="E65" s="106"/>
      <c r="F65" s="106"/>
      <c r="G65" s="106"/>
      <c r="H65" s="77"/>
    </row>
    <row r="66" spans="1:8" ht="15" thickBot="1" x14ac:dyDescent="0.35">
      <c r="A66" s="107" t="s">
        <v>161</v>
      </c>
      <c r="B66" s="121">
        <f>B63+(B64*B65)</f>
        <v>8.7075E-2</v>
      </c>
    </row>
    <row r="67" spans="1:8" ht="15" thickTop="1" x14ac:dyDescent="0.3"/>
    <row r="68" spans="1:8" x14ac:dyDescent="0.3">
      <c r="A68" s="110" t="s">
        <v>164</v>
      </c>
    </row>
    <row r="69" spans="1:8" x14ac:dyDescent="0.3">
      <c r="A69" s="111" t="s">
        <v>198</v>
      </c>
      <c r="B69" s="64">
        <f>'Financial Statement'!G28</f>
        <v>195.41</v>
      </c>
    </row>
    <row r="70" spans="1:8" x14ac:dyDescent="0.3">
      <c r="A70" s="111" t="s">
        <v>167</v>
      </c>
      <c r="B70" s="64">
        <f>'Financial Statement'!F52</f>
        <v>2290</v>
      </c>
    </row>
    <row r="71" spans="1:8" x14ac:dyDescent="0.3">
      <c r="A71" s="113" t="s">
        <v>199</v>
      </c>
      <c r="B71" s="64">
        <f>'Financial Statement'!G52</f>
        <v>3929</v>
      </c>
    </row>
    <row r="72" spans="1:8" x14ac:dyDescent="0.3">
      <c r="A72" s="113" t="s">
        <v>168</v>
      </c>
      <c r="B72" s="114">
        <f>(B70+B71)/2</f>
        <v>3109.5</v>
      </c>
    </row>
    <row r="73" spans="1:8" x14ac:dyDescent="0.3">
      <c r="A73" s="113" t="s">
        <v>169</v>
      </c>
      <c r="B73" s="101">
        <f>B69/B72</f>
        <v>6.2842900787908024E-2</v>
      </c>
    </row>
    <row r="74" spans="1:8" x14ac:dyDescent="0.3">
      <c r="A74" s="113"/>
      <c r="B74" s="101"/>
    </row>
    <row r="75" spans="1:8" ht="15" thickBot="1" x14ac:dyDescent="0.35">
      <c r="A75" s="119" t="s">
        <v>170</v>
      </c>
      <c r="B75" s="120">
        <f>B73*(1-'Financial Statement'!G35)</f>
        <v>4.3679012709206599E-2</v>
      </c>
      <c r="C75" s="61" t="s">
        <v>171</v>
      </c>
      <c r="D75" s="104"/>
      <c r="E75" s="104"/>
      <c r="F75" s="104"/>
      <c r="G75" s="104"/>
      <c r="H75" s="62"/>
    </row>
    <row r="76" spans="1:8" ht="15" thickTop="1" x14ac:dyDescent="0.3">
      <c r="C76" s="116" t="s">
        <v>172</v>
      </c>
      <c r="D76" s="1"/>
      <c r="E76" s="1"/>
      <c r="F76" s="1"/>
      <c r="G76" s="1"/>
      <c r="H76" s="72"/>
    </row>
    <row r="77" spans="1:8" x14ac:dyDescent="0.3">
      <c r="C77" s="117" t="s">
        <v>173</v>
      </c>
      <c r="D77" s="106"/>
      <c r="E77" s="106"/>
      <c r="F77" s="106"/>
      <c r="G77" s="106"/>
      <c r="H77" s="77"/>
    </row>
    <row r="78" spans="1:8" x14ac:dyDescent="0.3">
      <c r="A78" s="110" t="s">
        <v>185</v>
      </c>
      <c r="B78" s="189">
        <v>3.5000000000000003E-2</v>
      </c>
    </row>
  </sheetData>
  <mergeCells count="17">
    <mergeCell ref="D10:E10"/>
    <mergeCell ref="D17:E17"/>
    <mergeCell ref="D2:E2"/>
    <mergeCell ref="B2:C2"/>
    <mergeCell ref="B10:C10"/>
    <mergeCell ref="B11:C11"/>
    <mergeCell ref="B17:C17"/>
    <mergeCell ref="B18:C18"/>
    <mergeCell ref="B21:C21"/>
    <mergeCell ref="D21:E21"/>
    <mergeCell ref="B22:C22"/>
    <mergeCell ref="B24:C24"/>
    <mergeCell ref="D24:E24"/>
    <mergeCell ref="B25:C25"/>
    <mergeCell ref="B27:C27"/>
    <mergeCell ref="D27:E27"/>
    <mergeCell ref="B28:C28"/>
  </mergeCells>
  <conditionalFormatting sqref="B3:C3">
    <cfRule type="containsText" dxfId="10" priority="5" operator="containsText" text="Base Case">
      <formula>NOT(ISERROR(SEARCH("Base Case",B3)))</formula>
    </cfRule>
    <cfRule type="containsText" dxfId="9" priority="6" operator="containsText" text="B$B$8">
      <formula>NOT(ISERROR(SEARCH("B$B$8",B3)))</formula>
    </cfRule>
    <cfRule type="containsText" dxfId="8" priority="7" operator="containsText" text="Bull Case">
      <formula>NOT(ISERROR(SEARCH("Bull Case",B3)))</formula>
    </cfRule>
    <cfRule type="containsText" dxfId="7" priority="8" operator="containsText" text="Bear Case">
      <formula>NOT(ISERROR(SEARCH("Bear Case",B3)))</formula>
    </cfRule>
  </conditionalFormatting>
  <conditionalFormatting sqref="B11:C11">
    <cfRule type="containsText" dxfId="6" priority="1" operator="containsText" text="Base Case">
      <formula>NOT(ISERROR(SEARCH("Base Case",B11)))</formula>
    </cfRule>
    <cfRule type="containsText" dxfId="5" priority="2" operator="containsText" text="B$B$8">
      <formula>NOT(ISERROR(SEARCH("B$B$8",B11)))</formula>
    </cfRule>
    <cfRule type="containsText" dxfId="4" priority="3" operator="containsText" text="Bull Case">
      <formula>NOT(ISERROR(SEARCH("Bull Case",B11)))</formula>
    </cfRule>
    <cfRule type="containsText" dxfId="3" priority="4" operator="containsText" text="Bear Case">
      <formula>NOT(ISERROR(SEARCH("Bear Case",B11)))</formula>
    </cfRule>
  </conditionalFormatting>
  <dataValidations count="2">
    <dataValidation type="list" allowBlank="1" showInputMessage="1" showErrorMessage="1" sqref="B3" xr:uid="{E5958F13-709E-4237-9A9F-62C32D0DFA9E}">
      <formula1>$B$6:$B$8</formula1>
    </dataValidation>
    <dataValidation type="list" allowBlank="1" showInputMessage="1" showErrorMessage="1" sqref="B11:C11" xr:uid="{5CD49899-D68E-4098-83C3-01C9459D4CC6}">
      <formula1>$B$13:$B$15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D238-824D-470E-8F1E-5D2407803286}">
  <dimension ref="A1:G52"/>
  <sheetViews>
    <sheetView showGridLines="0" zoomScale="75" zoomScaleNormal="112" workbookViewId="0">
      <selection activeCell="H12" sqref="H12"/>
    </sheetView>
  </sheetViews>
  <sheetFormatPr defaultRowHeight="14.4" x14ac:dyDescent="0.3"/>
  <cols>
    <col min="1" max="1" width="26.109375" bestFit="1" customWidth="1"/>
    <col min="2" max="2" width="18.21875" customWidth="1"/>
    <col min="3" max="3" width="9.6640625" customWidth="1"/>
    <col min="4" max="6" width="8.5546875" bestFit="1" customWidth="1"/>
  </cols>
  <sheetData>
    <row r="1" spans="1:6" ht="15" thickBot="1" x14ac:dyDescent="0.35">
      <c r="F1" s="44" t="s">
        <v>147</v>
      </c>
    </row>
    <row r="2" spans="1:6" ht="15" thickBot="1" x14ac:dyDescent="0.35">
      <c r="A2" s="223" t="s">
        <v>96</v>
      </c>
      <c r="B2" s="224">
        <v>46477</v>
      </c>
      <c r="C2" s="224">
        <v>46843</v>
      </c>
      <c r="D2" s="224">
        <v>47208</v>
      </c>
      <c r="E2" s="224">
        <v>47573</v>
      </c>
      <c r="F2" s="225">
        <v>47938</v>
      </c>
    </row>
    <row r="3" spans="1:6" x14ac:dyDescent="0.3">
      <c r="A3" s="222" t="s">
        <v>97</v>
      </c>
      <c r="B3" s="67"/>
      <c r="C3" s="67"/>
      <c r="D3" s="67"/>
      <c r="E3" s="67"/>
      <c r="F3" s="68"/>
    </row>
    <row r="4" spans="1:6" x14ac:dyDescent="0.3">
      <c r="A4" s="94" t="s">
        <v>94</v>
      </c>
      <c r="B4" s="64">
        <f>'Financial Statement'!H25</f>
        <v>5823.3207380869198</v>
      </c>
      <c r="C4" s="64">
        <f>'Financial Statement'!I25</f>
        <v>6078.3979843237867</v>
      </c>
      <c r="D4" s="64">
        <f>'Financial Statement'!J25</f>
        <v>6344.6483059370858</v>
      </c>
      <c r="E4" s="64">
        <f>'Financial Statement'!K25</f>
        <v>6622.5611139393986</v>
      </c>
      <c r="F4" s="65">
        <f>'Financial Statement'!L25</f>
        <v>6912.647256873368</v>
      </c>
    </row>
    <row r="5" spans="1:6" x14ac:dyDescent="0.3">
      <c r="A5" s="94" t="s">
        <v>98</v>
      </c>
      <c r="B5" s="95">
        <f>'Financial Statement'!H35</f>
        <v>0.28796912806664249</v>
      </c>
      <c r="C5" s="95">
        <f>'Financial Statement'!I35</f>
        <v>0.28796912806664249</v>
      </c>
      <c r="D5" s="95">
        <f>'Financial Statement'!J35</f>
        <v>0.28796912806664249</v>
      </c>
      <c r="E5" s="95">
        <f>'Financial Statement'!K35</f>
        <v>0.28796912806664249</v>
      </c>
      <c r="F5" s="96">
        <f>'Financial Statement'!L35</f>
        <v>0.28796912806664249</v>
      </c>
    </row>
    <row r="6" spans="1:6" x14ac:dyDescent="0.3">
      <c r="A6" s="45" t="s">
        <v>99</v>
      </c>
      <c r="B6" s="46">
        <f>B4*(1-B5)</f>
        <v>4146.3841426876324</v>
      </c>
      <c r="C6" s="46">
        <f t="shared" ref="C6:F6" si="0">C4*(1-C5)</f>
        <v>4328.0070167360282</v>
      </c>
      <c r="D6" s="46">
        <f t="shared" si="0"/>
        <v>4517.5854653868828</v>
      </c>
      <c r="E6" s="46">
        <f t="shared" si="0"/>
        <v>4715.4679643902173</v>
      </c>
      <c r="F6" s="47">
        <f t="shared" si="0"/>
        <v>4922.0182536792754</v>
      </c>
    </row>
    <row r="7" spans="1:6" x14ac:dyDescent="0.3">
      <c r="A7" s="94" t="s">
        <v>100</v>
      </c>
      <c r="B7" s="97">
        <f>'Financial Statement'!H22</f>
        <v>1053.1090680397883</v>
      </c>
      <c r="C7" s="97">
        <f>'Financial Statement'!I22</f>
        <v>1099.2381021673009</v>
      </c>
      <c r="D7" s="97">
        <f>'Financial Statement'!J22</f>
        <v>1147.3877131316437</v>
      </c>
      <c r="E7" s="97">
        <f>'Financial Statement'!K22</f>
        <v>1197.6464076798313</v>
      </c>
      <c r="F7" s="98">
        <f>'Financial Statement'!L22</f>
        <v>1250.1065693945043</v>
      </c>
    </row>
    <row r="8" spans="1:6" x14ac:dyDescent="0.3">
      <c r="A8" s="94" t="s">
        <v>101</v>
      </c>
      <c r="B8" s="64">
        <f>Assumptions!B39</f>
        <v>1685.835383058223</v>
      </c>
      <c r="C8" s="64">
        <f>Assumptions!C39</f>
        <v>1759.679546287404</v>
      </c>
      <c r="D8" s="64">
        <f>Assumptions!D39</f>
        <v>1836.7582841955943</v>
      </c>
      <c r="E8" s="64">
        <f>Assumptions!E39</f>
        <v>1917.2132799287133</v>
      </c>
      <c r="F8" s="65">
        <f>Assumptions!F39</f>
        <v>2001.1924227388392</v>
      </c>
    </row>
    <row r="9" spans="1:6" x14ac:dyDescent="0.3">
      <c r="A9" s="94" t="s">
        <v>102</v>
      </c>
      <c r="B9" s="64">
        <f>Assumptions!B60</f>
        <v>1065.774381100151</v>
      </c>
      <c r="C9" s="64">
        <f>Assumptions!C60</f>
        <v>324.52441692952743</v>
      </c>
      <c r="D9" s="64">
        <f>Assumptions!D60</f>
        <v>338.73946678340053</v>
      </c>
      <c r="E9" s="64">
        <f>Assumptions!E60</f>
        <v>353.57717438444979</v>
      </c>
      <c r="F9" s="65">
        <f>Assumptions!F60</f>
        <v>369.06481383118808</v>
      </c>
    </row>
    <row r="10" spans="1:6" x14ac:dyDescent="0.3">
      <c r="A10" s="45" t="s">
        <v>103</v>
      </c>
      <c r="B10" s="46">
        <f>SUM(B6,B7)-(B8)-(B9)</f>
        <v>2447.883446569047</v>
      </c>
      <c r="C10" s="46">
        <f t="shared" ref="C10:F10" si="1">SUM(C6,C7)-(C8)-(C9)</f>
        <v>3343.0411556863974</v>
      </c>
      <c r="D10" s="46">
        <f t="shared" si="1"/>
        <v>3489.4754275395317</v>
      </c>
      <c r="E10" s="46">
        <f t="shared" si="1"/>
        <v>3642.3239177568853</v>
      </c>
      <c r="F10" s="47">
        <f t="shared" si="1"/>
        <v>3801.867586503753</v>
      </c>
    </row>
    <row r="11" spans="1:6" x14ac:dyDescent="0.3">
      <c r="A11" s="126"/>
      <c r="B11" s="91"/>
      <c r="C11" s="91"/>
      <c r="D11" s="91"/>
      <c r="E11" s="91"/>
      <c r="F11" s="91"/>
    </row>
    <row r="12" spans="1:6" x14ac:dyDescent="0.3">
      <c r="A12" s="133" t="s">
        <v>180</v>
      </c>
      <c r="B12" s="46">
        <f>B10/(1+$B$39)^1</f>
        <v>2253.1815828299382</v>
      </c>
      <c r="C12" s="46">
        <f>C10/(1+$B$39)^2</f>
        <v>2832.3872949325464</v>
      </c>
      <c r="D12" s="46">
        <f>D10/(1+$B$39)^3</f>
        <v>2721.3005919241</v>
      </c>
      <c r="E12" s="46">
        <f>E10/(1+$B$39)^4</f>
        <v>2614.5707279705939</v>
      </c>
      <c r="F12" s="47">
        <f>F10/(1+$B$39)^5</f>
        <v>2512.0268271162549</v>
      </c>
    </row>
    <row r="13" spans="1:6" x14ac:dyDescent="0.3">
      <c r="A13" s="135"/>
      <c r="B13" s="91"/>
      <c r="C13" s="91"/>
      <c r="D13" s="91"/>
      <c r="E13" s="91"/>
      <c r="F13" s="91"/>
    </row>
    <row r="14" spans="1:6" x14ac:dyDescent="0.3">
      <c r="A14" s="134" t="s">
        <v>181</v>
      </c>
      <c r="B14" s="127">
        <f>SUM(B12:F12)</f>
        <v>12933.467024773434</v>
      </c>
      <c r="C14" t="s">
        <v>184</v>
      </c>
      <c r="D14" s="91"/>
      <c r="E14" s="91"/>
      <c r="F14" s="91"/>
    </row>
    <row r="15" spans="1:6" x14ac:dyDescent="0.3">
      <c r="A15" s="136"/>
      <c r="B15" s="47"/>
      <c r="D15" s="91"/>
      <c r="E15" s="91"/>
      <c r="F15" s="91"/>
    </row>
    <row r="16" spans="1:6" x14ac:dyDescent="0.3">
      <c r="A16" s="133" t="s">
        <v>186</v>
      </c>
      <c r="B16" s="47">
        <f>F10*(1+Assumptions!B78)</f>
        <v>3934.932952031384</v>
      </c>
      <c r="C16" s="115" t="s">
        <v>205</v>
      </c>
      <c r="D16" s="91"/>
      <c r="E16" s="91"/>
      <c r="F16" s="91"/>
    </row>
    <row r="17" spans="1:6" x14ac:dyDescent="0.3">
      <c r="A17" s="137"/>
      <c r="B17" s="47"/>
      <c r="C17" s="115"/>
      <c r="D17" s="91"/>
      <c r="E17" s="91"/>
      <c r="F17" s="91"/>
    </row>
    <row r="18" spans="1:6" x14ac:dyDescent="0.3">
      <c r="A18" s="133" t="str">
        <f>A45</f>
        <v>Terminal Value</v>
      </c>
      <c r="B18" s="47">
        <f>B16/(B39-Assumptions!B78)</f>
        <v>76537.288934889875</v>
      </c>
      <c r="C18" s="115" t="s">
        <v>206</v>
      </c>
      <c r="D18" s="91"/>
      <c r="E18" s="91"/>
      <c r="F18" s="91"/>
    </row>
    <row r="19" spans="1:6" x14ac:dyDescent="0.3">
      <c r="A19" s="134" t="s">
        <v>188</v>
      </c>
      <c r="B19" s="47">
        <f>B18/(1+$B$39)^5</f>
        <v>50570.862531274972</v>
      </c>
      <c r="C19" s="118" t="s">
        <v>191</v>
      </c>
      <c r="D19" s="191">
        <f>B39</f>
        <v>8.6411971952375058E-2</v>
      </c>
    </row>
    <row r="20" spans="1:6" x14ac:dyDescent="0.3">
      <c r="C20" s="118" t="s">
        <v>183</v>
      </c>
      <c r="F20" s="190">
        <f>Assumptions!B78</f>
        <v>3.5000000000000003E-2</v>
      </c>
    </row>
    <row r="21" spans="1:6" x14ac:dyDescent="0.3">
      <c r="C21" s="118"/>
    </row>
    <row r="22" spans="1:6" x14ac:dyDescent="0.3">
      <c r="A22" s="138" t="s">
        <v>187</v>
      </c>
      <c r="B22" s="47">
        <f>B14+B19</f>
        <v>63504.329556048404</v>
      </c>
      <c r="C22" s="118"/>
    </row>
    <row r="23" spans="1:6" x14ac:dyDescent="0.3">
      <c r="A23" s="140"/>
      <c r="B23" s="91"/>
      <c r="C23" s="118"/>
    </row>
    <row r="24" spans="1:6" x14ac:dyDescent="0.3">
      <c r="A24" s="139" t="s">
        <v>189</v>
      </c>
      <c r="B24" s="141">
        <f>B22-'Financial Statement'!G52+'Financial Statement'!G79+'Financial Statement'!G75</f>
        <v>67711.329556048411</v>
      </c>
      <c r="C24" s="118"/>
    </row>
    <row r="25" spans="1:6" ht="15" thickBot="1" x14ac:dyDescent="0.35">
      <c r="C25" s="118"/>
    </row>
    <row r="26" spans="1:6" ht="15" thickBot="1" x14ac:dyDescent="0.35">
      <c r="A26" s="142" t="s">
        <v>190</v>
      </c>
      <c r="B26" s="143">
        <f>B24/'Data Sheet'!B2</f>
        <v>705.91461171860306</v>
      </c>
      <c r="C26" s="118"/>
    </row>
    <row r="30" spans="1:6" x14ac:dyDescent="0.3">
      <c r="A30" s="99" t="s">
        <v>154</v>
      </c>
      <c r="B30" s="100"/>
      <c r="C30" s="100"/>
    </row>
    <row r="31" spans="1:6" x14ac:dyDescent="0.3">
      <c r="A31" s="90" t="s">
        <v>151</v>
      </c>
      <c r="B31" s="64">
        <f>Valuation!C8*Valuation!C6</f>
        <v>253228.80000000002</v>
      </c>
    </row>
    <row r="32" spans="1:6" x14ac:dyDescent="0.3">
      <c r="A32" s="90" t="s">
        <v>152</v>
      </c>
      <c r="B32" s="64">
        <f>'Financial Statement'!G52</f>
        <v>3929</v>
      </c>
    </row>
    <row r="33" spans="1:7" ht="15" thickBot="1" x14ac:dyDescent="0.35">
      <c r="A33" s="92" t="s">
        <v>153</v>
      </c>
      <c r="B33" s="93">
        <f>SUM(B31:B32)</f>
        <v>257157.80000000002</v>
      </c>
    </row>
    <row r="34" spans="1:7" ht="15" thickTop="1" x14ac:dyDescent="0.3"/>
    <row r="35" spans="1:7" x14ac:dyDescent="0.3">
      <c r="A35" s="90" t="s">
        <v>155</v>
      </c>
      <c r="B35" s="101">
        <f>B31/B33</f>
        <v>0.98472144340945522</v>
      </c>
    </row>
    <row r="37" spans="1:7" x14ac:dyDescent="0.3">
      <c r="A37" s="90" t="s">
        <v>156</v>
      </c>
      <c r="B37" s="101">
        <f>B32/B33</f>
        <v>1.5278556590544792E-2</v>
      </c>
    </row>
    <row r="39" spans="1:7" x14ac:dyDescent="0.3">
      <c r="A39" s="129" t="s">
        <v>174</v>
      </c>
      <c r="B39" s="125">
        <f>(B35*Assumptions!B66)+(FCFF!B37*Assumptions!B73*(1-'Financial Statement'!G35))</f>
        <v>8.6411971952375058E-2</v>
      </c>
      <c r="C39" s="122" t="s">
        <v>175</v>
      </c>
      <c r="D39" s="104"/>
      <c r="E39" s="62"/>
    </row>
    <row r="40" spans="1:7" x14ac:dyDescent="0.3">
      <c r="C40" s="123" t="s">
        <v>176</v>
      </c>
      <c r="D40" s="1"/>
      <c r="E40" s="72"/>
    </row>
    <row r="41" spans="1:7" x14ac:dyDescent="0.3">
      <c r="C41" s="123" t="s">
        <v>177</v>
      </c>
      <c r="D41" s="1"/>
      <c r="E41" s="72"/>
    </row>
    <row r="42" spans="1:7" x14ac:dyDescent="0.3">
      <c r="C42" s="123" t="s">
        <v>178</v>
      </c>
      <c r="D42" s="1"/>
      <c r="E42" s="72"/>
    </row>
    <row r="43" spans="1:7" x14ac:dyDescent="0.3">
      <c r="C43" s="124" t="s">
        <v>179</v>
      </c>
      <c r="D43" s="106"/>
      <c r="E43" s="77"/>
    </row>
    <row r="45" spans="1:7" x14ac:dyDescent="0.3">
      <c r="A45" s="128" t="s">
        <v>182</v>
      </c>
      <c r="B45" s="130" t="s">
        <v>201</v>
      </c>
      <c r="C45" s="131" t="s">
        <v>203</v>
      </c>
      <c r="D45" s="104"/>
      <c r="E45" s="104"/>
      <c r="F45" s="104"/>
      <c r="G45" s="62"/>
    </row>
    <row r="46" spans="1:7" ht="14.4" customHeight="1" x14ac:dyDescent="0.3">
      <c r="A46" s="149" t="s">
        <v>200</v>
      </c>
      <c r="B46" s="150"/>
      <c r="C46" s="81" t="s">
        <v>204</v>
      </c>
      <c r="D46" s="1"/>
      <c r="E46" s="1"/>
      <c r="F46" s="1"/>
      <c r="G46" s="72"/>
    </row>
    <row r="47" spans="1:7" x14ac:dyDescent="0.3">
      <c r="A47" s="151"/>
      <c r="B47" s="152"/>
      <c r="C47" s="132" t="s">
        <v>183</v>
      </c>
      <c r="D47" s="106"/>
      <c r="E47" s="106"/>
      <c r="F47" s="106"/>
      <c r="G47" s="77"/>
    </row>
    <row r="48" spans="1:7" x14ac:dyDescent="0.3">
      <c r="A48" s="151"/>
      <c r="B48" s="152"/>
    </row>
    <row r="49" spans="1:2" x14ac:dyDescent="0.3">
      <c r="A49" s="151"/>
      <c r="B49" s="152"/>
    </row>
    <row r="50" spans="1:2" x14ac:dyDescent="0.3">
      <c r="A50" s="151"/>
      <c r="B50" s="152"/>
    </row>
    <row r="51" spans="1:2" x14ac:dyDescent="0.3">
      <c r="A51" s="151"/>
      <c r="B51" s="152"/>
    </row>
    <row r="52" spans="1:2" x14ac:dyDescent="0.3">
      <c r="A52" s="153"/>
      <c r="B52" s="154"/>
    </row>
  </sheetData>
  <mergeCells count="1">
    <mergeCell ref="A46:B5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B274-9AB5-4281-B5CA-E7F84BE99FFB}">
  <dimension ref="A1:M26"/>
  <sheetViews>
    <sheetView zoomScale="92" workbookViewId="0">
      <selection activeCell="C5" sqref="C5"/>
    </sheetView>
  </sheetViews>
  <sheetFormatPr defaultRowHeight="14.4" x14ac:dyDescent="0.3"/>
  <cols>
    <col min="2" max="2" width="25.109375" customWidth="1"/>
    <col min="3" max="3" width="8.88671875" style="31"/>
    <col min="6" max="6" width="11.88671875" bestFit="1" customWidth="1"/>
    <col min="9" max="9" width="9.5546875" bestFit="1" customWidth="1"/>
  </cols>
  <sheetData>
    <row r="1" spans="1:13" x14ac:dyDescent="0.3">
      <c r="A1" s="1"/>
      <c r="B1" s="81"/>
      <c r="C1" s="67"/>
      <c r="D1" s="44" t="s">
        <v>147</v>
      </c>
    </row>
    <row r="2" spans="1:13" ht="15" thickBot="1" x14ac:dyDescent="0.35">
      <c r="B2" s="80" t="s">
        <v>93</v>
      </c>
    </row>
    <row r="3" spans="1:13" ht="15" thickBot="1" x14ac:dyDescent="0.35">
      <c r="B3" s="82">
        <v>46477</v>
      </c>
      <c r="C3" s="84">
        <f>INDEX('Financial Statement'!H43:L43, MATCH(B3,'Financial Statement'!H4:L4,0))</f>
        <v>41.825004676664946</v>
      </c>
      <c r="D3" s="13"/>
      <c r="G3" s="23"/>
      <c r="H3" s="23"/>
      <c r="I3" s="24"/>
      <c r="J3" s="24"/>
      <c r="K3" s="24"/>
      <c r="L3" s="24"/>
      <c r="M3" s="24"/>
    </row>
    <row r="4" spans="1:13" x14ac:dyDescent="0.3">
      <c r="B4" s="13" t="s">
        <v>85</v>
      </c>
      <c r="C4" s="226">
        <v>50</v>
      </c>
      <c r="D4" s="13" t="s">
        <v>213</v>
      </c>
      <c r="G4" s="23"/>
      <c r="H4" s="23"/>
      <c r="I4" s="25"/>
      <c r="J4" s="23"/>
      <c r="K4" s="23"/>
      <c r="L4" s="23"/>
      <c r="M4" s="23"/>
    </row>
    <row r="5" spans="1:13" x14ac:dyDescent="0.3">
      <c r="B5" s="13" t="s">
        <v>80</v>
      </c>
      <c r="C5" s="144">
        <f>C3*C4</f>
        <v>2091.2502338332474</v>
      </c>
      <c r="D5" s="13"/>
      <c r="E5" s="17"/>
      <c r="F5" s="16"/>
      <c r="G5" s="26"/>
      <c r="H5" s="23"/>
      <c r="I5" s="24"/>
      <c r="J5" s="23"/>
      <c r="K5" s="23"/>
      <c r="L5" s="23"/>
      <c r="M5" s="23"/>
    </row>
    <row r="6" spans="1:13" x14ac:dyDescent="0.3">
      <c r="B6" s="13" t="s">
        <v>17</v>
      </c>
      <c r="C6" s="171">
        <f>'Data Sheet'!$B$4</f>
        <v>2640</v>
      </c>
      <c r="E6" s="16"/>
      <c r="F6" s="15"/>
      <c r="G6" s="27"/>
      <c r="H6" s="23"/>
      <c r="I6" s="24"/>
      <c r="J6" s="23"/>
      <c r="K6" s="23"/>
      <c r="L6" s="23"/>
      <c r="M6" s="23"/>
    </row>
    <row r="7" spans="1:13" ht="15" thickBot="1" x14ac:dyDescent="0.35">
      <c r="B7" s="13"/>
      <c r="C7" s="86"/>
      <c r="D7" s="13"/>
      <c r="E7" s="16"/>
      <c r="F7" s="15"/>
      <c r="G7" s="27"/>
      <c r="H7" s="23"/>
      <c r="I7" s="24"/>
      <c r="J7" s="23"/>
      <c r="K7" s="23"/>
      <c r="L7" s="23"/>
      <c r="M7" s="23"/>
    </row>
    <row r="8" spans="1:13" ht="15" thickBot="1" x14ac:dyDescent="0.35">
      <c r="B8" s="89" t="s">
        <v>150</v>
      </c>
      <c r="C8" s="186">
        <f>'Data Sheet'!B2</f>
        <v>95.92</v>
      </c>
      <c r="D8" s="13" t="s">
        <v>149</v>
      </c>
      <c r="E8" s="16"/>
      <c r="F8" s="15"/>
      <c r="G8" s="15"/>
    </row>
    <row r="9" spans="1:13" x14ac:dyDescent="0.3">
      <c r="B9" s="13" t="s">
        <v>88</v>
      </c>
      <c r="C9" s="86">
        <f>'Data Sheet'!F6</f>
        <v>9.4999999999999998E-3</v>
      </c>
      <c r="D9" s="13"/>
      <c r="E9" s="16"/>
      <c r="F9" s="15"/>
      <c r="G9" s="15"/>
    </row>
    <row r="10" spans="1:13" x14ac:dyDescent="0.3">
      <c r="B10" s="13"/>
      <c r="C10" s="85"/>
      <c r="D10" s="13"/>
      <c r="E10" s="16"/>
      <c r="F10" s="15"/>
      <c r="G10" s="15"/>
    </row>
    <row r="11" spans="1:13" x14ac:dyDescent="0.3">
      <c r="B11" s="13" t="s">
        <v>90</v>
      </c>
      <c r="C11" s="86">
        <f>(C5/C6)-1</f>
        <v>-0.20785975991164873</v>
      </c>
      <c r="E11" s="16"/>
      <c r="F11" s="15"/>
      <c r="G11" s="15"/>
    </row>
    <row r="12" spans="1:13" x14ac:dyDescent="0.3">
      <c r="B12" s="13"/>
      <c r="C12" s="85"/>
      <c r="D12" s="13"/>
      <c r="E12" s="16"/>
    </row>
    <row r="13" spans="1:13" x14ac:dyDescent="0.3">
      <c r="B13" s="13" t="s">
        <v>91</v>
      </c>
      <c r="C13" s="87">
        <f>C11+C9</f>
        <v>-0.19835975991164873</v>
      </c>
    </row>
    <row r="15" spans="1:13" x14ac:dyDescent="0.3">
      <c r="B15" s="13" t="s">
        <v>87</v>
      </c>
      <c r="C15" s="85" t="str">
        <f>IF(C13&gt;0.1,"BUY",IF(C13&lt;-0.1,"SELL","HOLD"))</f>
        <v>SELL</v>
      </c>
    </row>
    <row r="16" spans="1:13" x14ac:dyDescent="0.3">
      <c r="B16" t="s">
        <v>92</v>
      </c>
    </row>
    <row r="19" spans="2:8" ht="14.4" customHeight="1" x14ac:dyDescent="0.3">
      <c r="B19" s="187"/>
      <c r="C19" s="187"/>
      <c r="D19" s="79"/>
      <c r="E19" s="79"/>
      <c r="F19" s="79"/>
      <c r="G19" s="79"/>
      <c r="H19" s="79"/>
    </row>
    <row r="20" spans="2:8" x14ac:dyDescent="0.3">
      <c r="B20" s="187"/>
      <c r="C20" s="187"/>
      <c r="D20" s="79"/>
      <c r="E20" s="79"/>
      <c r="F20" s="79"/>
      <c r="G20" s="79"/>
      <c r="H20" s="79"/>
    </row>
    <row r="21" spans="2:8" x14ac:dyDescent="0.3">
      <c r="B21" s="187"/>
      <c r="C21" s="187"/>
      <c r="D21" s="79"/>
      <c r="E21" s="79"/>
      <c r="F21" s="79"/>
      <c r="G21" s="79"/>
      <c r="H21" s="79"/>
    </row>
    <row r="22" spans="2:8" x14ac:dyDescent="0.3">
      <c r="B22" s="187"/>
      <c r="C22" s="187"/>
      <c r="D22" s="79"/>
      <c r="E22" s="79"/>
      <c r="F22" s="79"/>
      <c r="G22" s="79"/>
      <c r="H22" s="79"/>
    </row>
    <row r="23" spans="2:8" x14ac:dyDescent="0.3">
      <c r="B23" s="187"/>
      <c r="C23" s="187"/>
      <c r="D23" s="79"/>
      <c r="E23" s="79"/>
      <c r="F23" s="79"/>
      <c r="G23" s="79"/>
      <c r="H23" s="79"/>
    </row>
    <row r="24" spans="2:8" x14ac:dyDescent="0.3">
      <c r="B24" s="187"/>
      <c r="C24" s="187"/>
    </row>
    <row r="25" spans="2:8" x14ac:dyDescent="0.3">
      <c r="B25" s="187"/>
      <c r="C25" s="187"/>
    </row>
    <row r="26" spans="2:8" x14ac:dyDescent="0.3">
      <c r="B26" s="79"/>
      <c r="C26" s="88"/>
    </row>
  </sheetData>
  <phoneticPr fontId="10" type="noConversion"/>
  <conditionalFormatting sqref="C15">
    <cfRule type="containsText" dxfId="2" priority="1" operator="containsText" text="Hold">
      <formula>NOT(ISERROR(SEARCH("Hold",C15)))</formula>
    </cfRule>
    <cfRule type="containsText" dxfId="1" priority="2" operator="containsText" text="Buy">
      <formula>NOT(ISERROR(SEARCH("Buy",C15)))</formula>
    </cfRule>
    <cfRule type="containsText" dxfId="0" priority="3" operator="containsText" text="Sell">
      <formula>NOT(ISERROR(SEARCH("Sell",C15)))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3EF9C3-2770-435B-AC31-31CB5D5707B0}">
          <x14:formula1>
            <xm:f>'Financial Statement'!$H$4:$L$4</xm:f>
          </x14:formula1>
          <xm:sqref>B3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B4AB-6170-4C7A-B19B-7D7D47217120}">
  <dimension ref="B1:G19"/>
  <sheetViews>
    <sheetView showGridLines="0" workbookViewId="0">
      <selection activeCell="H15" sqref="H15"/>
    </sheetView>
  </sheetViews>
  <sheetFormatPr defaultRowHeight="14.4" x14ac:dyDescent="0.3"/>
  <cols>
    <col min="2" max="2" width="18.77734375" bestFit="1" customWidth="1"/>
  </cols>
  <sheetData>
    <row r="1" spans="2:7" ht="15" thickBot="1" x14ac:dyDescent="0.35"/>
    <row r="2" spans="2:7" x14ac:dyDescent="0.3">
      <c r="B2" s="210" t="s">
        <v>14</v>
      </c>
      <c r="C2" s="211">
        <v>46477</v>
      </c>
      <c r="D2" s="211">
        <v>46843</v>
      </c>
      <c r="E2" s="211">
        <v>47208</v>
      </c>
      <c r="F2" s="211">
        <v>47573</v>
      </c>
      <c r="G2" s="212">
        <v>47938</v>
      </c>
    </row>
    <row r="3" spans="2:7" x14ac:dyDescent="0.3">
      <c r="B3" s="213" t="s">
        <v>210</v>
      </c>
      <c r="C3" s="214">
        <f>'Financial Statement'!H7</f>
        <v>37142.195585496956</v>
      </c>
      <c r="D3" s="214">
        <f>'Financial Statement'!I7</f>
        <v>38769.124514067727</v>
      </c>
      <c r="E3" s="214">
        <f>'Financial Statement'!J7</f>
        <v>40467.317343355608</v>
      </c>
      <c r="F3" s="214">
        <f>'Financial Statement'!K7</f>
        <v>42239.895625541671</v>
      </c>
      <c r="G3" s="215">
        <f>'Financial Statement'!L7</f>
        <v>44090.117645260871</v>
      </c>
    </row>
    <row r="4" spans="2:7" x14ac:dyDescent="0.3">
      <c r="B4" s="213" t="s">
        <v>66</v>
      </c>
      <c r="C4" s="214">
        <f>'Financial Statement'!H19</f>
        <v>6876.4298061267082</v>
      </c>
      <c r="D4" s="214">
        <f>'Financial Statement'!I19</f>
        <v>7177.6360864910876</v>
      </c>
      <c r="E4" s="214">
        <f>'Financial Statement'!J19</f>
        <v>7492.0360190687297</v>
      </c>
      <c r="F4" s="214">
        <f>'Financial Statement'!K19</f>
        <v>7820.2075216192297</v>
      </c>
      <c r="G4" s="215">
        <f>'Financial Statement'!L19</f>
        <v>8162.7538262678718</v>
      </c>
    </row>
    <row r="5" spans="2:7" x14ac:dyDescent="0.3">
      <c r="B5" s="213" t="s">
        <v>73</v>
      </c>
      <c r="C5" s="214">
        <f>'Financial Statement'!H37</f>
        <v>4011.8544485857019</v>
      </c>
      <c r="D5" s="214">
        <f>'Financial Statement'!I37</f>
        <v>4187.5845570709425</v>
      </c>
      <c r="E5" s="214">
        <f>'Financial Statement'!J37</f>
        <v>4371.0121210406714</v>
      </c>
      <c r="F5" s="214">
        <f>'Financial Statement'!K37</f>
        <v>4562.474309927301</v>
      </c>
      <c r="G5" s="215">
        <f>'Financial Statement'!L37</f>
        <v>4762.3230620990798</v>
      </c>
    </row>
    <row r="6" spans="2:7" x14ac:dyDescent="0.3">
      <c r="B6" s="213"/>
      <c r="C6" s="214"/>
      <c r="D6" s="214"/>
      <c r="E6" s="214"/>
      <c r="F6" s="214"/>
      <c r="G6" s="215"/>
    </row>
    <row r="7" spans="2:7" x14ac:dyDescent="0.3">
      <c r="B7" s="213" t="s">
        <v>103</v>
      </c>
      <c r="C7" s="214">
        <f>FCFF!B10</f>
        <v>2447.883446569047</v>
      </c>
      <c r="D7" s="214">
        <f>FCFF!C10</f>
        <v>3343.0411556863974</v>
      </c>
      <c r="E7" s="214">
        <f>FCFF!D10</f>
        <v>3489.4754275395317</v>
      </c>
      <c r="F7" s="214">
        <f>FCFF!E10</f>
        <v>3642.3239177568853</v>
      </c>
      <c r="G7" s="215">
        <f>FCFF!F10</f>
        <v>3801.867586503753</v>
      </c>
    </row>
    <row r="8" spans="2:7" x14ac:dyDescent="0.3">
      <c r="B8" s="213" t="s">
        <v>174</v>
      </c>
      <c r="C8" s="214">
        <f>FCFF!B39</f>
        <v>8.6411971952375058E-2</v>
      </c>
      <c r="D8" s="214"/>
      <c r="E8" s="214"/>
      <c r="F8" s="214"/>
      <c r="G8" s="215"/>
    </row>
    <row r="9" spans="2:7" ht="15" thickBot="1" x14ac:dyDescent="0.35">
      <c r="B9" s="216" t="s">
        <v>180</v>
      </c>
      <c r="C9" s="217">
        <f>FCFF!B12</f>
        <v>2253.1815828299382</v>
      </c>
      <c r="D9" s="217">
        <f>FCFF!C12</f>
        <v>2832.3872949325464</v>
      </c>
      <c r="E9" s="217">
        <f>FCFF!D12</f>
        <v>2721.3005919241</v>
      </c>
      <c r="F9" s="217">
        <f>FCFF!E12</f>
        <v>2614.5707279705939</v>
      </c>
      <c r="G9" s="218">
        <f>FCFF!F12</f>
        <v>2512.0268271162549</v>
      </c>
    </row>
    <row r="10" spans="2:7" ht="15" thickBot="1" x14ac:dyDescent="0.35">
      <c r="C10" s="209"/>
      <c r="D10" s="209"/>
      <c r="E10" s="209"/>
      <c r="F10" s="209"/>
      <c r="G10" s="209"/>
    </row>
    <row r="11" spans="2:7" x14ac:dyDescent="0.3">
      <c r="B11" s="219" t="s">
        <v>182</v>
      </c>
      <c r="C11" s="220">
        <f>FCFF!B18</f>
        <v>76537.288934889875</v>
      </c>
      <c r="D11" s="209"/>
      <c r="E11" s="209"/>
      <c r="F11" s="209"/>
      <c r="G11" s="209"/>
    </row>
    <row r="12" spans="2:7" x14ac:dyDescent="0.3">
      <c r="B12" s="213"/>
      <c r="C12" s="215"/>
      <c r="D12" s="209"/>
      <c r="E12" s="209"/>
      <c r="F12" s="209"/>
      <c r="G12" s="209"/>
    </row>
    <row r="13" spans="2:7" x14ac:dyDescent="0.3">
      <c r="B13" s="213" t="s">
        <v>211</v>
      </c>
      <c r="C13" s="215">
        <f>FCFF!B19</f>
        <v>50570.862531274972</v>
      </c>
      <c r="D13" s="209"/>
      <c r="E13" s="209"/>
      <c r="F13" s="209"/>
      <c r="G13" s="209"/>
    </row>
    <row r="14" spans="2:7" x14ac:dyDescent="0.3">
      <c r="B14" s="213"/>
      <c r="C14" s="215"/>
      <c r="D14" s="209"/>
      <c r="E14" s="209"/>
      <c r="F14" s="209"/>
      <c r="G14" s="209"/>
    </row>
    <row r="15" spans="2:7" x14ac:dyDescent="0.3">
      <c r="B15" s="213" t="s">
        <v>187</v>
      </c>
      <c r="C15" s="215">
        <f>FCFF!B22</f>
        <v>63504.329556048404</v>
      </c>
      <c r="D15" s="209"/>
      <c r="E15" s="209"/>
      <c r="F15" s="209"/>
      <c r="G15" s="209"/>
    </row>
    <row r="16" spans="2:7" x14ac:dyDescent="0.3">
      <c r="B16" s="213"/>
      <c r="C16" s="215"/>
      <c r="D16" s="209"/>
      <c r="E16" s="209"/>
      <c r="F16" s="209"/>
      <c r="G16" s="209"/>
    </row>
    <row r="17" spans="2:7" x14ac:dyDescent="0.3">
      <c r="B17" s="213" t="s">
        <v>189</v>
      </c>
      <c r="C17" s="215">
        <f>FCFF!B24</f>
        <v>67711.329556048411</v>
      </c>
      <c r="D17" s="209"/>
      <c r="E17" s="209"/>
      <c r="F17" s="209"/>
      <c r="G17" s="209"/>
    </row>
    <row r="18" spans="2:7" x14ac:dyDescent="0.3">
      <c r="B18" s="213"/>
      <c r="C18" s="215"/>
      <c r="D18" s="209"/>
      <c r="E18" s="209"/>
      <c r="F18" s="209"/>
      <c r="G18" s="209"/>
    </row>
    <row r="19" spans="2:7" ht="15" thickBot="1" x14ac:dyDescent="0.35">
      <c r="B19" s="216" t="s">
        <v>212</v>
      </c>
      <c r="C19" s="218">
        <f>FCFF!B26</f>
        <v>705.91461171860306</v>
      </c>
      <c r="D19" s="209"/>
      <c r="E19" s="209"/>
      <c r="F19" s="209"/>
      <c r="G19" s="20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Sheet</vt:lpstr>
      <vt:lpstr>Financial Statement</vt:lpstr>
      <vt:lpstr>Assumptions</vt:lpstr>
      <vt:lpstr>FCFF</vt:lpstr>
      <vt:lpstr>Valuation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 Keot</dc:creator>
  <cp:lastModifiedBy>Aban Keot</cp:lastModifiedBy>
  <cp:lastPrinted>2026-08-20T07:49:01Z</cp:lastPrinted>
  <dcterms:created xsi:type="dcterms:W3CDTF">2012-08-17T09:55:37Z</dcterms:created>
  <dcterms:modified xsi:type="dcterms:W3CDTF">2026-08-23T17:31:12Z</dcterms:modified>
</cp:coreProperties>
</file>