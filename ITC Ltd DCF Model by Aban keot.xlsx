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odeling\"/>
    </mc:Choice>
  </mc:AlternateContent>
  <xr:revisionPtr revIDLastSave="0" documentId="13_ncr:1_{C0D50B70-A4E0-44CC-813A-C272DAD66E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heet" sheetId="6" r:id="rId1"/>
    <sheet name="Financial Statement" sheetId="7" r:id="rId2"/>
    <sheet name="Assumptions" sheetId="8" r:id="rId3"/>
    <sheet name="FCFF" sheetId="12" r:id="rId4"/>
    <sheet name="Valuation" sheetId="9" r:id="rId5"/>
  </sheets>
  <definedNames>
    <definedName name="UPDATE">'Data Sheet'!#REF!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8" i="12" l="1"/>
  <c r="B32" i="12"/>
  <c r="B70" i="8"/>
  <c r="G48" i="8"/>
  <c r="F48" i="8"/>
  <c r="E48" i="8"/>
  <c r="D48" i="8"/>
  <c r="C48" i="8"/>
  <c r="B48" i="8"/>
  <c r="G46" i="8"/>
  <c r="F46" i="8"/>
  <c r="E46" i="8"/>
  <c r="D46" i="8"/>
  <c r="C46" i="8"/>
  <c r="B46" i="8"/>
  <c r="G44" i="8"/>
  <c r="F44" i="8"/>
  <c r="E44" i="8"/>
  <c r="D44" i="8"/>
  <c r="C44" i="8"/>
  <c r="B44" i="8"/>
  <c r="B71" i="8"/>
  <c r="B66" i="8"/>
  <c r="B32" i="8"/>
  <c r="B34" i="8" s="1"/>
  <c r="G32" i="8"/>
  <c r="G34" i="8" s="1"/>
  <c r="F32" i="8"/>
  <c r="F34" i="8" s="1"/>
  <c r="E32" i="8"/>
  <c r="E34" i="8" s="1"/>
  <c r="D32" i="8"/>
  <c r="D34" i="8" s="1"/>
  <c r="C32" i="8"/>
  <c r="C34" i="8" s="1"/>
  <c r="D12" i="7"/>
  <c r="C14" i="7"/>
  <c r="C15" i="7" s="1"/>
  <c r="D14" i="7"/>
  <c r="D17" i="7" s="1"/>
  <c r="C20" i="7"/>
  <c r="C21" i="7" s="1"/>
  <c r="D20" i="7"/>
  <c r="D21" i="7" s="1"/>
  <c r="C26" i="7"/>
  <c r="C27" i="7" s="1"/>
  <c r="D26" i="7"/>
  <c r="D27" i="7" s="1"/>
  <c r="C32" i="7"/>
  <c r="C33" i="7" s="1"/>
  <c r="D32" i="7"/>
  <c r="D33" i="7" s="1"/>
  <c r="C38" i="7"/>
  <c r="D38" i="7"/>
  <c r="C44" i="7"/>
  <c r="D44" i="7"/>
  <c r="H26" i="7"/>
  <c r="H27" i="7" s="1"/>
  <c r="G26" i="7"/>
  <c r="G27" i="7" s="1"/>
  <c r="F26" i="7"/>
  <c r="F27" i="7" s="1"/>
  <c r="E26" i="7"/>
  <c r="E27" i="7" s="1"/>
  <c r="C9" i="9"/>
  <c r="C6" i="9"/>
  <c r="B31" i="12" s="1"/>
  <c r="M44" i="7"/>
  <c r="L44" i="7"/>
  <c r="K44" i="7"/>
  <c r="J44" i="7"/>
  <c r="I44" i="7"/>
  <c r="H44" i="7"/>
  <c r="G44" i="7"/>
  <c r="F44" i="7"/>
  <c r="E44" i="7"/>
  <c r="H38" i="7"/>
  <c r="G38" i="7"/>
  <c r="F38" i="7"/>
  <c r="E38" i="7"/>
  <c r="H32" i="7"/>
  <c r="H33" i="7" s="1"/>
  <c r="G32" i="7"/>
  <c r="G33" i="7" s="1"/>
  <c r="F32" i="7"/>
  <c r="F33" i="7" s="1"/>
  <c r="E32" i="7"/>
  <c r="E33" i="7" s="1"/>
  <c r="H20" i="7"/>
  <c r="H21" i="7" s="1"/>
  <c r="G20" i="7"/>
  <c r="G21" i="7" s="1"/>
  <c r="F20" i="7"/>
  <c r="F21" i="7" s="1"/>
  <c r="E20" i="7"/>
  <c r="E21" i="7" s="1"/>
  <c r="H14" i="7"/>
  <c r="H17" i="7" s="1"/>
  <c r="H18" i="7" s="1"/>
  <c r="G14" i="7"/>
  <c r="G17" i="7" s="1"/>
  <c r="F14" i="7"/>
  <c r="F17" i="7" s="1"/>
  <c r="F18" i="7" s="1"/>
  <c r="E14" i="7"/>
  <c r="E17" i="7" s="1"/>
  <c r="H12" i="7"/>
  <c r="G12" i="7"/>
  <c r="F12" i="7"/>
  <c r="E12" i="7"/>
  <c r="B69" i="8" l="1"/>
  <c r="B72" i="8"/>
  <c r="B33" i="12"/>
  <c r="B37" i="12" s="1"/>
  <c r="D50" i="8"/>
  <c r="D54" i="8" s="1"/>
  <c r="E50" i="8"/>
  <c r="E54" i="8" s="1"/>
  <c r="G50" i="8"/>
  <c r="G54" i="8" s="1"/>
  <c r="B50" i="8"/>
  <c r="B54" i="8" s="1"/>
  <c r="F50" i="8"/>
  <c r="C50" i="8"/>
  <c r="C54" i="8" s="1"/>
  <c r="D18" i="7"/>
  <c r="D23" i="7"/>
  <c r="D24" i="7" s="1"/>
  <c r="C17" i="7"/>
  <c r="D15" i="7"/>
  <c r="B36" i="8"/>
  <c r="G39" i="8" s="1"/>
  <c r="D22" i="8"/>
  <c r="I27" i="7" s="1"/>
  <c r="C8" i="8"/>
  <c r="C6" i="8" s="1"/>
  <c r="D25" i="8"/>
  <c r="M33" i="7" s="1"/>
  <c r="G15" i="7"/>
  <c r="F15" i="7"/>
  <c r="H15" i="7"/>
  <c r="F23" i="7"/>
  <c r="G23" i="7"/>
  <c r="E15" i="7"/>
  <c r="D18" i="8"/>
  <c r="J21" i="7" s="1"/>
  <c r="E23" i="7"/>
  <c r="E29" i="7" s="1"/>
  <c r="E18" i="7"/>
  <c r="H23" i="7"/>
  <c r="H29" i="7" s="1"/>
  <c r="G18" i="7"/>
  <c r="B73" i="8" l="1"/>
  <c r="B35" i="12"/>
  <c r="F52" i="8"/>
  <c r="E52" i="8"/>
  <c r="D52" i="8"/>
  <c r="G52" i="8"/>
  <c r="C52" i="8"/>
  <c r="F54" i="8"/>
  <c r="B56" i="8" s="1"/>
  <c r="D29" i="7"/>
  <c r="D30" i="7" s="1"/>
  <c r="C23" i="7"/>
  <c r="C18" i="7"/>
  <c r="H30" i="7"/>
  <c r="H35" i="7"/>
  <c r="E30" i="7"/>
  <c r="E35" i="7"/>
  <c r="K27" i="7"/>
  <c r="L27" i="7"/>
  <c r="M27" i="7"/>
  <c r="F24" i="7"/>
  <c r="F29" i="7"/>
  <c r="G24" i="7"/>
  <c r="G29" i="7"/>
  <c r="J27" i="7"/>
  <c r="M21" i="7"/>
  <c r="I33" i="7"/>
  <c r="I32" i="7" s="1"/>
  <c r="K33" i="7"/>
  <c r="L33" i="7"/>
  <c r="D3" i="8"/>
  <c r="I12" i="7" s="1"/>
  <c r="I11" i="7" s="1"/>
  <c r="J33" i="7"/>
  <c r="C7" i="8"/>
  <c r="K21" i="7"/>
  <c r="I21" i="7"/>
  <c r="L21" i="7"/>
  <c r="C15" i="8"/>
  <c r="D11" i="8" s="1"/>
  <c r="H24" i="7"/>
  <c r="E24" i="7"/>
  <c r="B58" i="8" l="1"/>
  <c r="B60" i="8" s="1"/>
  <c r="B9" i="12" s="1"/>
  <c r="D35" i="7"/>
  <c r="D36" i="7" s="1"/>
  <c r="C29" i="7"/>
  <c r="C24" i="7"/>
  <c r="I26" i="7"/>
  <c r="B7" i="12" s="1"/>
  <c r="B39" i="8"/>
  <c r="B8" i="12" s="1"/>
  <c r="G30" i="7"/>
  <c r="G35" i="7"/>
  <c r="G39" i="7" s="1"/>
  <c r="F30" i="7"/>
  <c r="F35" i="7"/>
  <c r="F39" i="7" s="1"/>
  <c r="L12" i="7"/>
  <c r="M12" i="7"/>
  <c r="K12" i="7"/>
  <c r="J12" i="7"/>
  <c r="J11" i="7" s="1"/>
  <c r="I20" i="7"/>
  <c r="C13" i="8"/>
  <c r="C14" i="8"/>
  <c r="M15" i="7"/>
  <c r="M18" i="7" s="1"/>
  <c r="L15" i="7"/>
  <c r="L18" i="7" s="1"/>
  <c r="K15" i="7"/>
  <c r="K18" i="7" s="1"/>
  <c r="J15" i="7"/>
  <c r="I15" i="7"/>
  <c r="H36" i="7"/>
  <c r="H39" i="7"/>
  <c r="B39" i="12" s="1"/>
  <c r="D19" i="12" s="1"/>
  <c r="H41" i="7"/>
  <c r="E41" i="7"/>
  <c r="E36" i="7"/>
  <c r="E39" i="7"/>
  <c r="B75" i="8" l="1"/>
  <c r="D39" i="7"/>
  <c r="C39" i="8"/>
  <c r="C8" i="12" s="1"/>
  <c r="C58" i="8"/>
  <c r="C60" i="8" s="1"/>
  <c r="C9" i="12" s="1"/>
  <c r="D41" i="7"/>
  <c r="D46" i="7" s="1"/>
  <c r="C35" i="7"/>
  <c r="C30" i="7"/>
  <c r="J26" i="7"/>
  <c r="C7" i="12" s="1"/>
  <c r="F36" i="7"/>
  <c r="G36" i="7"/>
  <c r="F41" i="7"/>
  <c r="F46" i="7" s="1"/>
  <c r="G41" i="7"/>
  <c r="G46" i="7" s="1"/>
  <c r="H42" i="7"/>
  <c r="H46" i="7"/>
  <c r="E42" i="7"/>
  <c r="E46" i="7"/>
  <c r="K11" i="7"/>
  <c r="J20" i="7"/>
  <c r="I18" i="7"/>
  <c r="I14" i="7"/>
  <c r="I17" i="7" s="1"/>
  <c r="I23" i="7" s="1"/>
  <c r="I29" i="7" s="1"/>
  <c r="B4" i="12" s="1"/>
  <c r="J18" i="7"/>
  <c r="J14" i="7"/>
  <c r="J17" i="7" s="1"/>
  <c r="D42" i="7" l="1"/>
  <c r="D39" i="8"/>
  <c r="D8" i="12" s="1"/>
  <c r="D58" i="8"/>
  <c r="D60" i="8" s="1"/>
  <c r="D9" i="12" s="1"/>
  <c r="F42" i="7"/>
  <c r="C39" i="7"/>
  <c r="D28" i="8" s="1"/>
  <c r="L39" i="7" s="1"/>
  <c r="E5" i="12" s="1"/>
  <c r="C41" i="7"/>
  <c r="C36" i="7"/>
  <c r="G42" i="7"/>
  <c r="I30" i="7"/>
  <c r="I35" i="7"/>
  <c r="L11" i="7"/>
  <c r="K26" i="7"/>
  <c r="D7" i="12" s="1"/>
  <c r="K20" i="7"/>
  <c r="K14" i="7"/>
  <c r="K17" i="7" s="1"/>
  <c r="I24" i="7"/>
  <c r="J23" i="7"/>
  <c r="J29" i="7" s="1"/>
  <c r="C4" i="12" s="1"/>
  <c r="E39" i="8" l="1"/>
  <c r="E8" i="12" s="1"/>
  <c r="E58" i="8"/>
  <c r="E60" i="8" s="1"/>
  <c r="E9" i="12" s="1"/>
  <c r="C46" i="7"/>
  <c r="C42" i="7"/>
  <c r="M11" i="7"/>
  <c r="J30" i="7"/>
  <c r="L14" i="7"/>
  <c r="L17" i="7" s="1"/>
  <c r="L20" i="7"/>
  <c r="L26" i="7"/>
  <c r="E7" i="12" s="1"/>
  <c r="K23" i="7"/>
  <c r="I39" i="7"/>
  <c r="M39" i="7"/>
  <c r="F5" i="12" s="1"/>
  <c r="J39" i="7"/>
  <c r="C5" i="12" s="1"/>
  <c r="C6" i="12" s="1"/>
  <c r="C10" i="12" s="1"/>
  <c r="C12" i="12" s="1"/>
  <c r="K39" i="7"/>
  <c r="D5" i="12" s="1"/>
  <c r="I36" i="7"/>
  <c r="J24" i="7"/>
  <c r="F39" i="8" l="1"/>
  <c r="F8" i="12" s="1"/>
  <c r="F58" i="8"/>
  <c r="F60" i="8" s="1"/>
  <c r="F9" i="12" s="1"/>
  <c r="M14" i="7"/>
  <c r="M17" i="7" s="1"/>
  <c r="M26" i="7"/>
  <c r="F7" i="12" s="1"/>
  <c r="M20" i="7"/>
  <c r="I38" i="7"/>
  <c r="I41" i="7" s="1"/>
  <c r="B5" i="12"/>
  <c r="B6" i="12" s="1"/>
  <c r="B10" i="12" s="1"/>
  <c r="B12" i="12" s="1"/>
  <c r="L23" i="7"/>
  <c r="L29" i="7" s="1"/>
  <c r="E4" i="12" s="1"/>
  <c r="E6" i="12" s="1"/>
  <c r="E10" i="12" s="1"/>
  <c r="E12" i="12" s="1"/>
  <c r="K24" i="7"/>
  <c r="K29" i="7"/>
  <c r="D4" i="12" s="1"/>
  <c r="D6" i="12" s="1"/>
  <c r="D10" i="12" s="1"/>
  <c r="D12" i="12" s="1"/>
  <c r="M23" i="7" l="1"/>
  <c r="M24" i="7" s="1"/>
  <c r="J38" i="7"/>
  <c r="K38" i="7" s="1"/>
  <c r="L38" i="7" s="1"/>
  <c r="M38" i="7" s="1"/>
  <c r="L30" i="7"/>
  <c r="L24" i="7"/>
  <c r="K30" i="7"/>
  <c r="I42" i="7"/>
  <c r="I46" i="7"/>
  <c r="M29" i="7" l="1"/>
  <c r="F4" i="12" s="1"/>
  <c r="F6" i="12" s="1"/>
  <c r="F10" i="12" s="1"/>
  <c r="J32" i="7"/>
  <c r="J35" i="7" s="1"/>
  <c r="F12" i="12" l="1"/>
  <c r="B14" i="12" s="1"/>
  <c r="B16" i="12"/>
  <c r="B18" i="12" s="1"/>
  <c r="B19" i="12" s="1"/>
  <c r="M30" i="7"/>
  <c r="K32" i="7"/>
  <c r="K35" i="7" s="1"/>
  <c r="B22" i="12" l="1"/>
  <c r="B24" i="12" s="1"/>
  <c r="B26" i="12" s="1"/>
  <c r="J36" i="7"/>
  <c r="J41" i="7"/>
  <c r="L32" i="7"/>
  <c r="L35" i="7" s="1"/>
  <c r="J42" i="7" l="1"/>
  <c r="J46" i="7"/>
  <c r="M32" i="7"/>
  <c r="M35" i="7" s="1"/>
  <c r="K36" i="7"/>
  <c r="K41" i="7"/>
  <c r="K42" i="7" l="1"/>
  <c r="K46" i="7"/>
  <c r="L36" i="7"/>
  <c r="L41" i="7"/>
  <c r="M36" i="7"/>
  <c r="M41" i="7"/>
  <c r="M42" i="7" l="1"/>
  <c r="M46" i="7"/>
  <c r="C3" i="9" s="1"/>
  <c r="C5" i="9" s="1"/>
  <c r="L42" i="7"/>
  <c r="L46" i="7"/>
  <c r="C11" i="9" l="1"/>
  <c r="C13" i="9" l="1"/>
  <c r="C15" i="9" s="1"/>
</calcChain>
</file>

<file path=xl/sharedStrings.xml><?xml version="1.0" encoding="utf-8"?>
<sst xmlns="http://schemas.openxmlformats.org/spreadsheetml/2006/main" count="307" uniqueCount="226">
  <si>
    <t>Sales</t>
  </si>
  <si>
    <t>Other Income</t>
  </si>
  <si>
    <t>Depreciation</t>
  </si>
  <si>
    <t>Interest</t>
  </si>
  <si>
    <t>Profit before tax</t>
  </si>
  <si>
    <t>Tax</t>
  </si>
  <si>
    <t>Net profit</t>
  </si>
  <si>
    <t>Reserves</t>
  </si>
  <si>
    <t>Investments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</si>
  <si>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</si>
  <si>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</si>
  <si>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</si>
  <si>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</si>
  <si>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</si>
  <si>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</si>
  <si>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BALANCE SHEET</t>
  </si>
  <si>
    <t>CASH FLOW:</t>
  </si>
  <si>
    <t>Current Price</t>
  </si>
  <si>
    <t>Inventory</t>
  </si>
  <si>
    <t>EPS</t>
  </si>
  <si>
    <t>Dividend Amount</t>
  </si>
  <si>
    <t>Borrowings</t>
  </si>
  <si>
    <t>Other Liabilities</t>
  </si>
  <si>
    <t>Other Assets</t>
  </si>
  <si>
    <t>Receivables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</si>
  <si>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</si>
  <si>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</si>
  <si>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</si>
  <si>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</si>
  <si>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</si>
  <si>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</si>
  <si>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</si>
  <si>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Face value</t>
  </si>
  <si>
    <t>ITC Limited</t>
  </si>
  <si>
    <t>Equity Research on ITC limited by Aban Keot</t>
  </si>
  <si>
    <t>₹ 1</t>
  </si>
  <si>
    <t>Profit from operations</t>
  </si>
  <si>
    <t>Payables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</si>
  <si>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</si>
  <si>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</si>
  <si>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</si>
  <si>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</si>
  <si>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</si>
  <si>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</si>
  <si>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</si>
  <si>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</si>
  <si>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</si>
  <si>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</si>
  <si>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Redemption/Cancellation of Shares</t>
  </si>
  <si>
    <t>Other investing items</t>
  </si>
  <si>
    <t>Proceeds from shares</t>
  </si>
  <si>
    <t>Proceeds from borrowings</t>
  </si>
  <si>
    <t>Repayment of borrowings</t>
  </si>
  <si>
    <t>Interest paid</t>
  </si>
  <si>
    <t>Dividends paid</t>
  </si>
  <si>
    <t>Financial liabilities</t>
  </si>
  <si>
    <t>Other financing items</t>
  </si>
  <si>
    <t>Free Cash Flow</t>
  </si>
  <si>
    <t>CFO/OP (%)</t>
  </si>
  <si>
    <t>102%</t>
  </si>
  <si>
    <t>99%</t>
  </si>
  <si>
    <t>101%</t>
  </si>
  <si>
    <t>98%</t>
  </si>
  <si>
    <t>92%</t>
  </si>
  <si>
    <t>93%</t>
  </si>
  <si>
    <t>Date 26/04/2026</t>
  </si>
  <si>
    <t>About: Established in 1910, ITC is the largest cigarette manufacturer and seller in the country. ITC operates in four business segments at present — FMCG Cigarettes, FMCG Others, Paperboards, Paper and Packaging, and Agri Business.</t>
  </si>
  <si>
    <t>Income Statement</t>
  </si>
  <si>
    <t>Sales Growth %</t>
  </si>
  <si>
    <t>COGS</t>
  </si>
  <si>
    <t>COGS % of Sales</t>
  </si>
  <si>
    <t>Average</t>
  </si>
  <si>
    <t>Gross Profit</t>
  </si>
  <si>
    <t>Gross Margin</t>
  </si>
  <si>
    <t>Operating Expenses</t>
  </si>
  <si>
    <t>OE % of Sales</t>
  </si>
  <si>
    <t>EBITDA</t>
  </si>
  <si>
    <t>EBITDAMargin</t>
  </si>
  <si>
    <t>Interest % of Sales</t>
  </si>
  <si>
    <t>Depreciation % of Sales</t>
  </si>
  <si>
    <t>EBT</t>
  </si>
  <si>
    <t>EBT % of Sales</t>
  </si>
  <si>
    <t>Effective Tax Rates</t>
  </si>
  <si>
    <t>Net Profit</t>
  </si>
  <si>
    <t>Net Margin</t>
  </si>
  <si>
    <t>Bull Case</t>
  </si>
  <si>
    <t>Bear Case</t>
  </si>
  <si>
    <t>Base Case</t>
  </si>
  <si>
    <t>Sales Assumption Type</t>
  </si>
  <si>
    <t>Rate</t>
  </si>
  <si>
    <t>Target Price</t>
  </si>
  <si>
    <t>Average of Dep %</t>
  </si>
  <si>
    <t>Expected</t>
  </si>
  <si>
    <t>Actual</t>
  </si>
  <si>
    <t>Interest % average</t>
  </si>
  <si>
    <t>I used 5-year average interest to normalize fluctuations, since ITC has low and stable leverage.</t>
  </si>
  <si>
    <t xml:space="preserve">Number of shares = </t>
  </si>
  <si>
    <t>Number of Shares in Cr</t>
  </si>
  <si>
    <t>Target P/E</t>
  </si>
  <si>
    <t>cr approx</t>
  </si>
  <si>
    <t>Current Price=  ₹</t>
  </si>
  <si>
    <t xml:space="preserve">Face Value= </t>
  </si>
  <si>
    <t>Recommendation</t>
  </si>
  <si>
    <t xml:space="preserve">Market Capitalization =  </t>
  </si>
  <si>
    <t xml:space="preserve">Cr </t>
  </si>
  <si>
    <r>
      <rPr>
        <b/>
        <sz val="11"/>
        <color theme="1"/>
        <rFont val="Calibri"/>
        <family val="2"/>
        <scheme val="minor"/>
      </rPr>
      <t xml:space="preserve">Note : </t>
    </r>
    <r>
      <rPr>
        <sz val="11"/>
        <color theme="1"/>
        <rFont val="Calibri"/>
        <family val="2"/>
        <scheme val="minor"/>
      </rPr>
      <t>Given ITC’s diversified structure, a Sum-of-the-Parts (SOTP) approach may provide a more accurate valuation by valuing cigarettes, FMCG, and other segments separately. However, due to data constraints, a consolidated P/E-based valuation has been used.</t>
    </r>
  </si>
  <si>
    <t>Dividend Yield %</t>
  </si>
  <si>
    <t xml:space="preserve">Dividend Yield = </t>
  </si>
  <si>
    <t>Price Return %</t>
  </si>
  <si>
    <t>Total Expected Return</t>
  </si>
  <si>
    <t>Recommendation is based on total return approach (including dividends)</t>
  </si>
  <si>
    <t>Select the FY for EPS Forward</t>
  </si>
  <si>
    <t>EBIT</t>
  </si>
  <si>
    <t>EBIT %  of Sales</t>
  </si>
  <si>
    <t>Item</t>
  </si>
  <si>
    <t>FCFF Schedule</t>
  </si>
  <si>
    <t>Tax Rate</t>
  </si>
  <si>
    <t>NOPAT</t>
  </si>
  <si>
    <t>Depreciation &amp; Amortization</t>
  </si>
  <si>
    <t>Capital Expenditure (Capex)</t>
  </si>
  <si>
    <t>Change in Net Working Capital</t>
  </si>
  <si>
    <t>FCFF</t>
  </si>
  <si>
    <t>Historical Capex</t>
  </si>
  <si>
    <t>Capex % of Revenue</t>
  </si>
  <si>
    <t>Forecast Capex %</t>
  </si>
  <si>
    <t>Forecast Capex</t>
  </si>
  <si>
    <t>Calculating Capital expenditure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</si>
  <si>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</si>
  <si>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</si>
  <si>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</si>
  <si>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</si>
  <si>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</si>
  <si>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</si>
  <si>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</si>
  <si>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</si>
  <si>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Total Liabilities</t>
  </si>
  <si>
    <t>Fixed Assets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</si>
  <si>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</si>
  <si>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</si>
  <si>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</si>
  <si>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</si>
  <si>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</si>
  <si>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</si>
  <si>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</si>
  <si>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</si>
  <si>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</si>
  <si>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</si>
  <si>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</si>
  <si>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</si>
  <si>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</si>
  <si>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Cash Equivalents</t>
  </si>
  <si>
    <t>Loans n Advances</t>
  </si>
  <si>
    <t>Other asset items</t>
  </si>
  <si>
    <t>Total Assets</t>
  </si>
  <si>
    <t>#</t>
  </si>
  <si>
    <t>Net Working Capital</t>
  </si>
  <si>
    <t>Year</t>
  </si>
  <si>
    <t>Trade Receiveable</t>
  </si>
  <si>
    <t>Trade Payable</t>
  </si>
  <si>
    <t>Calculating Net Working Capital</t>
  </si>
  <si>
    <t>Change in WC</t>
  </si>
  <si>
    <t>NA</t>
  </si>
  <si>
    <t>NWC % of Sales</t>
  </si>
  <si>
    <t>Forecast NWC %</t>
  </si>
  <si>
    <t>Forecast NWC</t>
  </si>
  <si>
    <t>Change if Forecaster NWC</t>
  </si>
  <si>
    <t>Figures in ₹ Crores (Unless stated)</t>
  </si>
  <si>
    <t>Avg of OpEx % of Sales</t>
  </si>
  <si>
    <t>cr (approx)</t>
  </si>
  <si>
    <t>Number of shares =</t>
  </si>
  <si>
    <t>Market Value of Equity</t>
  </si>
  <si>
    <t>Market Value of Debt</t>
  </si>
  <si>
    <t>Total Capital</t>
  </si>
  <si>
    <t>Market Value and Share of Equity and Debt</t>
  </si>
  <si>
    <t>Equity Weight</t>
  </si>
  <si>
    <t>Debt Weight</t>
  </si>
  <si>
    <t>Risk Free Rate</t>
  </si>
  <si>
    <t xml:space="preserve">Beta </t>
  </si>
  <si>
    <t>Market Risk Premium</t>
  </si>
  <si>
    <t>( According to Money control)</t>
  </si>
  <si>
    <t>Grant Thornton Bharat – Equity Risk Premium Study, March 2025</t>
  </si>
  <si>
    <t>Cost of Equity using CAPM</t>
  </si>
  <si>
    <t>India 10Y Bond Yield 6.75 (Trdae Economices)</t>
  </si>
  <si>
    <t>Cost of Equity</t>
  </si>
  <si>
    <t>Cost of Debt</t>
  </si>
  <si>
    <t>Interest Expense on Mar-25</t>
  </si>
  <si>
    <t>Equity Capital</t>
  </si>
  <si>
    <t>Trade receivables</t>
  </si>
  <si>
    <t>Receivables over 6m</t>
  </si>
  <si>
    <t>Receivables under 6m</t>
  </si>
  <si>
    <t>Prov for Doubtful</t>
  </si>
  <si>
    <t>Relevant Debt as on Mar-24</t>
  </si>
  <si>
    <t>Relevant Debt as on Mar-25</t>
  </si>
  <si>
    <t>Average Debt</t>
  </si>
  <si>
    <t xml:space="preserve">Pre- Tax Cost of Debt </t>
  </si>
  <si>
    <t>After Tax Cost of Debt</t>
  </si>
  <si>
    <t>Kd​(1−T)</t>
  </si>
  <si>
    <r>
      <t xml:space="preserve">Kd​ = Pre-tax Cost of Debt = </t>
    </r>
    <r>
      <rPr>
        <b/>
        <sz val="11"/>
        <color theme="1"/>
        <rFont val="Calibri"/>
        <family val="2"/>
        <scheme val="minor"/>
      </rPr>
      <t>15.33%</t>
    </r>
  </si>
  <si>
    <t>T = Tax Rate</t>
  </si>
  <si>
    <t>WACC</t>
  </si>
  <si>
    <r>
      <t>E/V</t>
    </r>
    <r>
      <rPr>
        <sz val="11"/>
        <color theme="1"/>
        <rFont val="Calibri"/>
        <family val="2"/>
        <scheme val="minor"/>
      </rPr>
      <t xml:space="preserve"> = Equity Weight</t>
    </r>
  </si>
  <si>
    <r>
      <t>Ke</t>
    </r>
    <r>
      <rPr>
        <sz val="11"/>
        <color theme="1"/>
        <rFont val="Calibri"/>
        <family val="2"/>
        <scheme val="minor"/>
      </rPr>
      <t xml:space="preserve"> = Cost of Equity</t>
    </r>
  </si>
  <si>
    <r>
      <t>D/V</t>
    </r>
    <r>
      <rPr>
        <sz val="11"/>
        <color theme="1"/>
        <rFont val="Calibri"/>
        <family val="2"/>
        <scheme val="minor"/>
      </rPr>
      <t xml:space="preserve"> = Debt Weight</t>
    </r>
  </si>
  <si>
    <r>
      <t>Kd</t>
    </r>
    <r>
      <rPr>
        <sz val="11"/>
        <color theme="1"/>
        <rFont val="Calibri"/>
        <family val="2"/>
        <scheme val="minor"/>
      </rPr>
      <t xml:space="preserve"> = Pre-tax Cost of Debt</t>
    </r>
  </si>
  <si>
    <r>
      <t>T</t>
    </r>
    <r>
      <rPr>
        <sz val="11"/>
        <color theme="1"/>
        <rFont val="Calibri"/>
        <family val="2"/>
        <scheme val="minor"/>
      </rPr>
      <t xml:space="preserve"> = Tax Rate</t>
    </r>
  </si>
  <si>
    <t>Present Value of FCFF</t>
  </si>
  <si>
    <t>Present Value of forecasted FCFF</t>
  </si>
  <si>
    <t>Terminal Value</t>
  </si>
  <si>
    <r>
      <t xml:space="preserve">FCFFn​ = FCFF in our final forecast year, </t>
    </r>
    <r>
      <rPr>
        <b/>
        <sz val="11"/>
        <color theme="1"/>
        <rFont val="Calibri"/>
        <family val="2"/>
        <scheme val="minor"/>
      </rPr>
      <t>Mar-30</t>
    </r>
  </si>
  <si>
    <r>
      <t xml:space="preserve">FCFFn+1​ = FCFF in the following year, </t>
    </r>
    <r>
      <rPr>
        <b/>
        <sz val="11"/>
        <color theme="1"/>
        <rFont val="Calibri"/>
        <family val="2"/>
        <scheme val="minor"/>
      </rPr>
      <t>Mar-31</t>
    </r>
  </si>
  <si>
    <t>WACC = 11.00%</t>
  </si>
  <si>
    <t>g = perpetual growth rate</t>
  </si>
  <si>
    <t>PV=(FCFF)/(1+WACC)n</t>
  </si>
  <si>
    <r>
      <t>FCFF 2031</t>
    </r>
    <r>
      <rPr>
        <sz val="11"/>
        <color theme="1"/>
        <rFont val="Calibri"/>
        <family val="2"/>
        <scheme val="minor"/>
      </rPr>
      <t xml:space="preserve"> = Mar-30 FCFF grown one more year</t>
    </r>
  </si>
  <si>
    <t>"=FCFF2031/WACC-g"</t>
  </si>
  <si>
    <r>
      <t xml:space="preserve">Terminal growth should represent </t>
    </r>
    <r>
      <rPr>
        <b/>
        <sz val="11"/>
        <color theme="1"/>
        <rFont val="Calibri"/>
        <family val="2"/>
        <scheme val="minor"/>
      </rPr>
      <t>long-term sustainable growth</t>
    </r>
    <r>
      <rPr>
        <sz val="11"/>
        <color theme="1"/>
        <rFont val="Calibri"/>
        <family val="2"/>
        <scheme val="minor"/>
      </rPr>
      <t xml:space="preserve">, not the company's temporary high-growth period.For a mature company like ITC, we'd normally want a conservative long-term rate, generally below the economy's long-term nominal growth and, most importantly: </t>
    </r>
    <r>
      <rPr>
        <b/>
        <sz val="11"/>
        <color theme="1"/>
        <rFont val="Calibri"/>
        <family val="2"/>
        <scheme val="minor"/>
      </rPr>
      <t>g&lt;WACC</t>
    </r>
  </si>
  <si>
    <t>Perpetual growth rate (g)</t>
  </si>
  <si>
    <t>FCFF2031</t>
  </si>
  <si>
    <t>Enterprise Value</t>
  </si>
  <si>
    <t>Present Value of Terminal Value</t>
  </si>
  <si>
    <t>Equity Value</t>
  </si>
  <si>
    <t>Equity value per share</t>
  </si>
  <si>
    <t>WACC =</t>
  </si>
  <si>
    <t>Dividend frequency =  Twice a year- Feb &amp; May</t>
  </si>
  <si>
    <t>Book value</t>
  </si>
  <si>
    <t>₹ 56.7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</si>
</sst>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[$-409]mmm\-yy;@"/>
    <numFmt numFmtId="166" formatCode="0.0"/>
    <numFmt numFmtId="167" formatCode="_ * #,##0_ ;_ * \-#,##0_ ;_ * &quot;-&quot;??_ ;_ @_ "/>
    <numFmt numFmtId="168" formatCode="#,##0.0;\(#,##0.0\)"/>
    <numFmt numFmtId="169" formatCode="#,##0.0"/>
    <numFmt numFmtId="170" formatCode="#,##0.0_);\(#,##0.0\)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name val="Arial"/>
      <family val="2"/>
    </font>
    <font>
      <b/>
      <sz val="11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8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CC00"/>
      <name val="Calibri"/>
      <family val="2"/>
      <scheme val="minor"/>
    </font>
    <font>
      <sz val="11"/>
      <color rgb="FF0099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212529"/>
      <name val="Arial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14">
    <xf numFmtId="0" fontId="0" fillId="0" borderId="0" xfId="0"/>
    <xf numFmtId="0" fontId="0" fillId="0" borderId="0" xfId="0" applyBorder="1"/>
    <xf numFmtId="164" fontId="1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 vertical="top"/>
    </xf>
    <xf numFmtId="164" fontId="0" fillId="0" borderId="0" xfId="1" applyFont="1" applyBorder="1" applyAlignment="1">
      <alignment horizontal="center"/>
    </xf>
    <xf numFmtId="165" fontId="2" fillId="2" borderId="0" xfId="0" applyNumberFormat="1" applyFont="1" applyFill="1" applyBorder="1" applyAlignment="1">
      <alignment horizontal="center"/>
    </xf>
    <xf numFmtId="165" fontId="4" fillId="0" borderId="0" xfId="1" applyNumberFormat="1" applyFont="1" applyFill="1" applyBorder="1" applyAlignment="1">
      <alignment horizontal="center"/>
    </xf>
    <xf numFmtId="164" fontId="3" fillId="0" borderId="0" xfId="1" applyFont="1" applyBorder="1" applyAlignment="1">
      <alignment horizontal="center"/>
    </xf>
    <xf numFmtId="164" fontId="0" fillId="0" borderId="0" xfId="1" applyFont="1" applyBorder="1" applyAlignment="1">
      <alignment horizontal="right"/>
    </xf>
    <xf numFmtId="164" fontId="5" fillId="0" borderId="0" xfId="1" applyFont="1" applyBorder="1" applyAlignment="1">
      <alignment horizontal="right"/>
    </xf>
    <xf numFmtId="164" fontId="5" fillId="0" borderId="0" xfId="1" applyFont="1" applyBorder="1" applyAlignment="1">
      <alignment vertical="top" wrapText="1"/>
    </xf>
    <xf numFmtId="164" fontId="1" fillId="0" borderId="0" xfId="1" applyFont="1" applyBorder="1" applyAlignment="1">
      <alignment horizontal="left"/>
    </xf>
    <xf numFmtId="164" fontId="0" fillId="0" borderId="0" xfId="1" applyFont="1" applyBorder="1" applyAlignment="1">
      <alignment horizontal="left"/>
    </xf>
    <xf numFmtId="165" fontId="2" fillId="2" borderId="0" xfId="1" applyNumberFormat="1" applyFont="1" applyFill="1" applyBorder="1" applyAlignment="1">
      <alignment horizontal="left"/>
    </xf>
    <xf numFmtId="164" fontId="3" fillId="0" borderId="0" xfId="1" applyFont="1" applyBorder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9" fontId="0" fillId="0" borderId="0" xfId="2" applyFont="1"/>
    <xf numFmtId="0" fontId="0" fillId="0" borderId="1" xfId="0" applyBorder="1"/>
    <xf numFmtId="0" fontId="1" fillId="0" borderId="0" xfId="0" applyFont="1"/>
    <xf numFmtId="0" fontId="5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0" xfId="2" applyNumberFormat="1" applyFont="1"/>
    <xf numFmtId="1" fontId="0" fillId="0" borderId="0" xfId="0" applyNumberFormat="1"/>
    <xf numFmtId="164" fontId="9" fillId="3" borderId="0" xfId="1" applyFont="1" applyFill="1" applyBorder="1" applyAlignment="1">
      <alignment horizontal="left"/>
    </xf>
    <xf numFmtId="165" fontId="2" fillId="4" borderId="0" xfId="0" applyNumberFormat="1" applyFont="1" applyFill="1" applyBorder="1" applyAlignment="1">
      <alignment horizontal="center"/>
    </xf>
    <xf numFmtId="0" fontId="1" fillId="0" borderId="5" xfId="0" applyFont="1" applyBorder="1"/>
    <xf numFmtId="0" fontId="0" fillId="0" borderId="6" xfId="0" applyBorder="1"/>
    <xf numFmtId="164" fontId="1" fillId="0" borderId="0" xfId="1" applyFont="1" applyBorder="1" applyAlignment="1">
      <alignment horizontal="right"/>
    </xf>
    <xf numFmtId="165" fontId="4" fillId="0" borderId="0" xfId="1" applyNumberFormat="1" applyFont="1" applyFill="1" applyBorder="1" applyAlignment="1">
      <alignment horizontal="left"/>
    </xf>
    <xf numFmtId="165" fontId="4" fillId="0" borderId="0" xfId="1" applyNumberFormat="1" applyFont="1" applyFill="1" applyBorder="1" applyAlignment="1">
      <alignment horizontal="right"/>
    </xf>
    <xf numFmtId="164" fontId="3" fillId="0" borderId="0" xfId="1" applyFont="1" applyBorder="1" applyAlignment="1">
      <alignment horizontal="right"/>
    </xf>
    <xf numFmtId="165" fontId="0" fillId="0" borderId="0" xfId="0" applyNumberFormat="1"/>
    <xf numFmtId="0" fontId="0" fillId="0" borderId="0" xfId="0" applyFill="1"/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 applyProtection="1">
      <alignment horizont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164" fontId="0" fillId="0" borderId="0" xfId="1" applyFont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1" applyFont="1" applyBorder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/>
    <xf numFmtId="10" fontId="0" fillId="0" borderId="0" xfId="0" applyNumberFormat="1" applyAlignment="1">
      <alignment horizontal="right"/>
    </xf>
    <xf numFmtId="0" fontId="14" fillId="0" borderId="0" xfId="0" applyFont="1" applyAlignment="1">
      <alignment horizontal="right"/>
    </xf>
    <xf numFmtId="2" fontId="14" fillId="0" borderId="0" xfId="0" applyNumberFormat="1" applyFont="1" applyAlignment="1">
      <alignment horizontal="right"/>
    </xf>
    <xf numFmtId="164" fontId="10" fillId="0" borderId="0" xfId="1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168" fontId="12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68" fontId="14" fillId="0" borderId="0" xfId="0" applyNumberFormat="1" applyFont="1" applyAlignment="1">
      <alignment horizontal="right"/>
    </xf>
    <xf numFmtId="168" fontId="13" fillId="0" borderId="0" xfId="0" applyNumberFormat="1" applyFont="1" applyAlignment="1">
      <alignment horizontal="right"/>
    </xf>
    <xf numFmtId="168" fontId="0" fillId="0" borderId="5" xfId="0" applyNumberFormat="1" applyBorder="1" applyAlignment="1">
      <alignment horizontal="right"/>
    </xf>
    <xf numFmtId="10" fontId="0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0" fontId="0" fillId="0" borderId="1" xfId="0" applyFill="1" applyBorder="1"/>
    <xf numFmtId="0" fontId="15" fillId="0" borderId="0" xfId="0" applyFont="1" applyAlignment="1">
      <alignment horizontal="right"/>
    </xf>
    <xf numFmtId="0" fontId="0" fillId="0" borderId="8" xfId="0" applyBorder="1" applyAlignment="1">
      <alignment horizontal="left" vertical="center"/>
    </xf>
    <xf numFmtId="168" fontId="0" fillId="0" borderId="9" xfId="0" applyNumberFormat="1" applyBorder="1" applyAlignment="1">
      <alignment horizontal="right"/>
    </xf>
    <xf numFmtId="168" fontId="0" fillId="0" borderId="10" xfId="0" applyNumberFormat="1" applyBorder="1" applyAlignment="1">
      <alignment horizontal="right"/>
    </xf>
    <xf numFmtId="165" fontId="2" fillId="2" borderId="0" xfId="0" applyNumberFormat="1" applyFont="1" applyFill="1" applyBorder="1" applyAlignment="1">
      <alignment horizontal="right"/>
    </xf>
    <xf numFmtId="165" fontId="2" fillId="2" borderId="0" xfId="1" applyNumberFormat="1" applyFont="1" applyFill="1" applyBorder="1" applyAlignment="1">
      <alignment horizontal="right"/>
    </xf>
    <xf numFmtId="0" fontId="4" fillId="0" borderId="0" xfId="0" applyFont="1"/>
    <xf numFmtId="164" fontId="9" fillId="0" borderId="0" xfId="1" applyFont="1" applyFill="1" applyBorder="1" applyAlignment="1">
      <alignment horizontal="left"/>
    </xf>
    <xf numFmtId="0" fontId="0" fillId="6" borderId="12" xfId="0" applyFill="1" applyBorder="1"/>
    <xf numFmtId="168" fontId="14" fillId="6" borderId="5" xfId="0" applyNumberFormat="1" applyFont="1" applyFill="1" applyBorder="1" applyAlignment="1">
      <alignment horizontal="right"/>
    </xf>
    <xf numFmtId="168" fontId="14" fillId="6" borderId="13" xfId="0" applyNumberFormat="1" applyFont="1" applyFill="1" applyBorder="1" applyAlignment="1">
      <alignment horizontal="right"/>
    </xf>
    <xf numFmtId="0" fontId="0" fillId="6" borderId="14" xfId="0" applyFill="1" applyBorder="1"/>
    <xf numFmtId="0" fontId="0" fillId="6" borderId="0" xfId="0" applyFill="1" applyBorder="1"/>
    <xf numFmtId="0" fontId="0" fillId="6" borderId="15" xfId="0" applyFill="1" applyBorder="1"/>
    <xf numFmtId="10" fontId="0" fillId="6" borderId="0" xfId="0" applyNumberFormat="1" applyFill="1" applyBorder="1"/>
    <xf numFmtId="10" fontId="0" fillId="6" borderId="15" xfId="0" applyNumberFormat="1" applyFill="1" applyBorder="1"/>
    <xf numFmtId="0" fontId="0" fillId="6" borderId="16" xfId="0" applyFill="1" applyBorder="1"/>
    <xf numFmtId="168" fontId="0" fillId="6" borderId="17" xfId="0" applyNumberFormat="1" applyFill="1" applyBorder="1" applyAlignment="1">
      <alignment horizontal="right"/>
    </xf>
    <xf numFmtId="168" fontId="0" fillId="6" borderId="18" xfId="0" applyNumberFormat="1" applyFill="1" applyBorder="1" applyAlignment="1">
      <alignment horizontal="right"/>
    </xf>
    <xf numFmtId="0" fontId="0" fillId="5" borderId="8" xfId="0" applyFill="1" applyBorder="1"/>
    <xf numFmtId="0" fontId="0" fillId="5" borderId="10" xfId="0" applyFill="1" applyBorder="1"/>
    <xf numFmtId="0" fontId="0" fillId="5" borderId="12" xfId="0" applyFill="1" applyBorder="1" applyAlignment="1">
      <alignment horizontal="center"/>
    </xf>
    <xf numFmtId="165" fontId="0" fillId="5" borderId="5" xfId="0" applyNumberFormat="1" applyFill="1" applyBorder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5" borderId="14" xfId="0" applyFill="1" applyBorder="1" applyAlignment="1">
      <alignment horizontal="center"/>
    </xf>
    <xf numFmtId="165" fontId="0" fillId="5" borderId="0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165" fontId="0" fillId="5" borderId="13" xfId="0" applyNumberFormat="1" applyFill="1" applyBorder="1" applyAlignment="1">
      <alignment horizontal="center"/>
    </xf>
    <xf numFmtId="0" fontId="0" fillId="0" borderId="14" xfId="0" applyFill="1" applyBorder="1"/>
    <xf numFmtId="168" fontId="16" fillId="0" borderId="0" xfId="0" applyNumberFormat="1" applyFont="1" applyBorder="1" applyAlignment="1">
      <alignment horizontal="right"/>
    </xf>
    <xf numFmtId="168" fontId="16" fillId="0" borderId="15" xfId="0" applyNumberFormat="1" applyFont="1" applyBorder="1" applyAlignment="1">
      <alignment horizontal="right"/>
    </xf>
    <xf numFmtId="0" fontId="0" fillId="0" borderId="14" xfId="0" applyBorder="1"/>
    <xf numFmtId="0" fontId="0" fillId="0" borderId="0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4" xfId="0" applyBorder="1" applyAlignment="1">
      <alignment horizontal="left"/>
    </xf>
    <xf numFmtId="170" fontId="0" fillId="0" borderId="0" xfId="0" applyNumberFormat="1" applyBorder="1" applyAlignment="1">
      <alignment horizontal="right"/>
    </xf>
    <xf numFmtId="170" fontId="0" fillId="0" borderId="15" xfId="0" applyNumberFormat="1" applyBorder="1" applyAlignment="1">
      <alignment horizontal="right"/>
    </xf>
    <xf numFmtId="0" fontId="12" fillId="0" borderId="0" xfId="0" applyFont="1" applyBorder="1" applyAlignment="1">
      <alignment horizontal="right"/>
    </xf>
    <xf numFmtId="0" fontId="0" fillId="0" borderId="15" xfId="0" applyBorder="1"/>
    <xf numFmtId="10" fontId="0" fillId="0" borderId="0" xfId="2" applyNumberFormat="1" applyFont="1" applyBorder="1"/>
    <xf numFmtId="10" fontId="0" fillId="0" borderId="15" xfId="2" applyNumberFormat="1" applyFont="1" applyBorder="1"/>
    <xf numFmtId="10" fontId="0" fillId="0" borderId="0" xfId="0" applyNumberFormat="1" applyBorder="1"/>
    <xf numFmtId="0" fontId="0" fillId="0" borderId="16" xfId="0" applyBorder="1"/>
    <xf numFmtId="170" fontId="0" fillId="0" borderId="17" xfId="0" applyNumberFormat="1" applyBorder="1" applyAlignment="1">
      <alignment horizontal="right"/>
    </xf>
    <xf numFmtId="0" fontId="0" fillId="0" borderId="18" xfId="0" applyBorder="1"/>
    <xf numFmtId="170" fontId="0" fillId="0" borderId="17" xfId="0" applyNumberFormat="1" applyBorder="1"/>
    <xf numFmtId="0" fontId="17" fillId="7" borderId="1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1" fillId="0" borderId="11" xfId="0" applyFont="1" applyBorder="1"/>
    <xf numFmtId="0" fontId="1" fillId="0" borderId="0" xfId="0" applyFont="1" applyBorder="1"/>
    <xf numFmtId="165" fontId="1" fillId="0" borderId="19" xfId="0" applyNumberFormat="1" applyFont="1" applyBorder="1" applyAlignment="1">
      <alignment horizontal="center"/>
    </xf>
    <xf numFmtId="0" fontId="0" fillId="0" borderId="0" xfId="0" applyAlignment="1"/>
    <xf numFmtId="164" fontId="5" fillId="0" borderId="0" xfId="1" applyFont="1" applyBorder="1" applyAlignment="1"/>
    <xf numFmtId="9" fontId="0" fillId="0" borderId="0" xfId="0" applyNumberFormat="1" applyAlignment="1">
      <alignment horizontal="right"/>
    </xf>
    <xf numFmtId="10" fontId="5" fillId="0" borderId="0" xfId="2" applyNumberFormat="1" applyFont="1" applyAlignment="1">
      <alignment horizontal="right"/>
    </xf>
    <xf numFmtId="2" fontId="1" fillId="0" borderId="7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10" fontId="1" fillId="0" borderId="0" xfId="2" applyNumberFormat="1" applyFont="1" applyAlignment="1">
      <alignment horizontal="right"/>
    </xf>
    <xf numFmtId="167" fontId="1" fillId="0" borderId="3" xfId="1" applyNumberFormat="1" applyFont="1" applyBorder="1" applyAlignment="1">
      <alignment horizontal="right"/>
    </xf>
    <xf numFmtId="10" fontId="1" fillId="0" borderId="0" xfId="0" applyNumberFormat="1" applyFont="1" applyAlignment="1">
      <alignment horizontal="right"/>
    </xf>
    <xf numFmtId="0" fontId="0" fillId="0" borderId="0" xfId="0" applyAlignment="1">
      <alignment horizontal="right" vertical="top" wrapText="1"/>
    </xf>
    <xf numFmtId="164" fontId="1" fillId="0" borderId="2" xfId="1" applyFont="1" applyBorder="1" applyAlignment="1">
      <alignment horizontal="left"/>
    </xf>
    <xf numFmtId="0" fontId="0" fillId="0" borderId="0" xfId="0" applyFill="1" applyBorder="1" applyAlignment="1">
      <alignment horizontal="left" vertical="center"/>
    </xf>
    <xf numFmtId="168" fontId="0" fillId="0" borderId="0" xfId="0" applyNumberFormat="1" applyBorder="1" applyAlignment="1">
      <alignment horizontal="right"/>
    </xf>
    <xf numFmtId="0" fontId="0" fillId="0" borderId="20" xfId="0" applyFill="1" applyBorder="1" applyAlignment="1">
      <alignment horizontal="left" vertical="center"/>
    </xf>
    <xf numFmtId="168" fontId="0" fillId="0" borderId="20" xfId="0" applyNumberFormat="1" applyBorder="1"/>
    <xf numFmtId="0" fontId="1" fillId="7" borderId="12" xfId="0" applyFont="1" applyFill="1" applyBorder="1" applyAlignment="1">
      <alignment horizontal="center" vertical="center"/>
    </xf>
    <xf numFmtId="165" fontId="0" fillId="7" borderId="5" xfId="0" applyNumberFormat="1" applyFill="1" applyBorder="1" applyAlignment="1">
      <alignment horizontal="right"/>
    </xf>
    <xf numFmtId="165" fontId="0" fillId="7" borderId="13" xfId="0" applyNumberFormat="1" applyFill="1" applyBorder="1" applyAlignment="1">
      <alignment horizontal="right"/>
    </xf>
    <xf numFmtId="0" fontId="0" fillId="0" borderId="14" xfId="0" applyBorder="1" applyAlignment="1">
      <alignment horizontal="left" vertical="center"/>
    </xf>
    <xf numFmtId="10" fontId="16" fillId="0" borderId="0" xfId="0" applyNumberFormat="1" applyFont="1" applyBorder="1" applyAlignment="1">
      <alignment horizontal="right"/>
    </xf>
    <xf numFmtId="10" fontId="16" fillId="0" borderId="15" xfId="0" applyNumberFormat="1" applyFont="1" applyBorder="1" applyAlignment="1">
      <alignment horizontal="right"/>
    </xf>
    <xf numFmtId="168" fontId="16" fillId="0" borderId="5" xfId="0" applyNumberFormat="1" applyFont="1" applyBorder="1" applyAlignment="1">
      <alignment horizontal="right"/>
    </xf>
    <xf numFmtId="168" fontId="16" fillId="0" borderId="13" xfId="0" applyNumberFormat="1" applyFont="1" applyBorder="1" applyAlignment="1">
      <alignment horizontal="right"/>
    </xf>
    <xf numFmtId="0" fontId="1" fillId="7" borderId="0" xfId="0" applyFont="1" applyFill="1" applyBorder="1" applyAlignment="1">
      <alignment horizontal="left" vertical="center"/>
    </xf>
    <xf numFmtId="0" fontId="1" fillId="7" borderId="0" xfId="0" applyFont="1" applyFill="1"/>
    <xf numFmtId="10" fontId="0" fillId="0" borderId="0" xfId="2" applyNumberFormat="1" applyFont="1"/>
    <xf numFmtId="10" fontId="12" fillId="0" borderId="0" xfId="0" applyNumberFormat="1" applyFont="1" applyBorder="1"/>
    <xf numFmtId="0" fontId="12" fillId="0" borderId="0" xfId="0" applyFont="1"/>
    <xf numFmtId="0" fontId="0" fillId="0" borderId="5" xfId="0" applyBorder="1"/>
    <xf numFmtId="0" fontId="18" fillId="0" borderId="12" xfId="0" applyFont="1" applyBorder="1"/>
    <xf numFmtId="0" fontId="0" fillId="0" borderId="17" xfId="0" applyBorder="1"/>
    <xf numFmtId="0" fontId="0" fillId="0" borderId="20" xfId="0" applyBorder="1"/>
    <xf numFmtId="0" fontId="0" fillId="8" borderId="12" xfId="0" applyFill="1" applyBorder="1"/>
    <xf numFmtId="0" fontId="0" fillId="8" borderId="13" xfId="0" applyFill="1" applyBorder="1"/>
    <xf numFmtId="0" fontId="0" fillId="8" borderId="0" xfId="0" applyFill="1"/>
    <xf numFmtId="0" fontId="19" fillId="0" borderId="0" xfId="0" applyFont="1"/>
    <xf numFmtId="169" fontId="0" fillId="0" borderId="0" xfId="0" applyNumberFormat="1"/>
    <xf numFmtId="0" fontId="20" fillId="0" borderId="0" xfId="0" applyFont="1"/>
    <xf numFmtId="169" fontId="20" fillId="0" borderId="0" xfId="0" applyNumberFormat="1" applyFont="1"/>
    <xf numFmtId="0" fontId="19" fillId="0" borderId="0" xfId="0" applyFont="1" applyAlignment="1"/>
    <xf numFmtId="168" fontId="4" fillId="0" borderId="0" xfId="0" applyNumberFormat="1" applyFont="1" applyBorder="1" applyAlignment="1">
      <alignment horizontal="right"/>
    </xf>
    <xf numFmtId="0" fontId="0" fillId="0" borderId="0" xfId="0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0" fillId="0" borderId="16" xfId="0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9" fillId="0" borderId="20" xfId="0" applyFont="1" applyBorder="1" applyAlignment="1"/>
    <xf numFmtId="10" fontId="0" fillId="0" borderId="21" xfId="2" applyNumberFormat="1" applyFont="1" applyBorder="1"/>
    <xf numFmtId="10" fontId="4" fillId="0" borderId="20" xfId="0" applyNumberFormat="1" applyFont="1" applyBorder="1"/>
    <xf numFmtId="0" fontId="1" fillId="0" borderId="12" xfId="0" applyFont="1" applyBorder="1" applyAlignment="1">
      <alignment horizontal="left" vertical="center" indent="1"/>
    </xf>
    <xf numFmtId="0" fontId="1" fillId="0" borderId="14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10" fontId="0" fillId="8" borderId="0" xfId="2" applyNumberFormat="1" applyFont="1" applyFill="1"/>
    <xf numFmtId="0" fontId="0" fillId="0" borderId="0" xfId="0" applyBorder="1" applyAlignment="1">
      <alignment horizontal="left" vertical="center"/>
    </xf>
    <xf numFmtId="168" fontId="0" fillId="0" borderId="11" xfId="0" applyNumberFormat="1" applyBorder="1" applyAlignment="1">
      <alignment horizontal="right"/>
    </xf>
    <xf numFmtId="0" fontId="1" fillId="8" borderId="11" xfId="0" applyFont="1" applyFill="1" applyBorder="1"/>
    <xf numFmtId="0" fontId="1" fillId="8" borderId="0" xfId="0" applyFont="1" applyFill="1"/>
    <xf numFmtId="0" fontId="21" fillId="0" borderId="8" xfId="0" applyFont="1" applyBorder="1"/>
    <xf numFmtId="0" fontId="1" fillId="0" borderId="12" xfId="0" applyFont="1" applyBorder="1"/>
    <xf numFmtId="0" fontId="1" fillId="0" borderId="17" xfId="0" applyFont="1" applyBorder="1"/>
    <xf numFmtId="0" fontId="1" fillId="8" borderId="8" xfId="0" applyFont="1" applyFill="1" applyBorder="1" applyAlignment="1">
      <alignment horizontal="left" vertical="center"/>
    </xf>
    <xf numFmtId="0" fontId="21" fillId="8" borderId="1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5" borderId="11" xfId="0" applyFont="1" applyFill="1" applyBorder="1"/>
    <xf numFmtId="0" fontId="1" fillId="5" borderId="0" xfId="0" applyFont="1" applyFill="1" applyBorder="1"/>
    <xf numFmtId="0" fontId="1" fillId="0" borderId="0" xfId="0" applyFont="1" applyFill="1" applyBorder="1"/>
    <xf numFmtId="168" fontId="0" fillId="9" borderId="0" xfId="0" applyNumberFormat="1" applyFill="1" applyBorder="1" applyAlignment="1">
      <alignment horizontal="right"/>
    </xf>
    <xf numFmtId="0" fontId="1" fillId="5" borderId="2" xfId="0" applyFont="1" applyFill="1" applyBorder="1"/>
    <xf numFmtId="168" fontId="1" fillId="0" borderId="4" xfId="0" applyNumberFormat="1" applyFont="1" applyBorder="1" applyAlignment="1">
      <alignment horizontal="right"/>
    </xf>
    <xf numFmtId="168" fontId="1" fillId="0" borderId="0" xfId="0" applyNumberFormat="1" applyFont="1" applyAlignment="1">
      <alignment horizontal="right"/>
    </xf>
    <xf numFmtId="10" fontId="0" fillId="0" borderId="20" xfId="2" applyNumberFormat="1" applyFont="1" applyBorder="1" applyAlignment="1">
      <alignment horizontal="right"/>
    </xf>
    <xf numFmtId="10" fontId="22" fillId="0" borderId="0" xfId="0" applyNumberFormat="1" applyFont="1"/>
    <xf numFmtId="164" fontId="0" fillId="0" borderId="0" xfId="1" applyFont="1" applyBorder="1" applyAlignment="1">
      <alignment horizontal="right"/>
    </xf>
    <xf numFmtId="164" fontId="5" fillId="0" borderId="0" xfId="1" applyFont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4" fontId="1" fillId="10" borderId="0" xfId="1" applyFont="1" applyFill="1" applyBorder="1" applyAlignment="1"/>
    <xf numFmtId="164" fontId="1" fillId="10" borderId="0" xfId="1" applyFont="1" applyFill="1" applyBorder="1" applyAlignment="1">
      <alignment horizontal="left"/>
    </xf>
    <xf numFmtId="164" fontId="23" fillId="10" borderId="0" xfId="1" applyFont="1" applyFill="1" applyBorder="1" applyAlignment="1">
      <alignment horizontal="right"/>
    </xf>
    <xf numFmtId="10" fontId="23" fillId="10" borderId="0" xfId="2" applyNumberFormat="1" applyFont="1" applyFill="1" applyBorder="1" applyAlignment="1">
      <alignment horizontal="right"/>
    </xf>
    <xf numFmtId="164" fontId="1" fillId="10" borderId="2" xfId="1" applyFont="1" applyFill="1" applyBorder="1" applyAlignment="1">
      <alignment horizontal="left"/>
    </xf>
    <xf numFmtId="167" fontId="1" fillId="10" borderId="3" xfId="1" applyNumberFormat="1" applyFont="1" applyFill="1" applyBorder="1" applyAlignment="1">
      <alignment horizontal="right"/>
    </xf>
    <xf numFmtId="0" fontId="6" fillId="10" borderId="0" xfId="0" applyFont="1" applyFill="1" applyAlignment="1">
      <alignment horizontal="right"/>
    </xf>
    <xf numFmtId="0" fontId="1" fillId="10" borderId="0" xfId="1" applyNumberFormat="1" applyFont="1" applyFill="1" applyBorder="1" applyAlignment="1">
      <alignment horizontal="right"/>
    </xf>
    <xf numFmtId="164" fontId="1" fillId="10" borderId="4" xfId="1" applyFont="1" applyFill="1" applyBorder="1" applyAlignment="1">
      <alignment horizontal="left"/>
    </xf>
    <xf numFmtId="164" fontId="24" fillId="0" borderId="0" xfId="1" applyFont="1" applyBorder="1" applyAlignment="1">
      <alignment horizontal="centerContinuous"/>
    </xf>
    <xf numFmtId="164" fontId="24" fillId="10" borderId="0" xfId="1" applyFont="1" applyFill="1" applyBorder="1" applyAlignment="1">
      <alignment horizontal="centerContinuous"/>
    </xf>
    <xf numFmtId="0" fontId="25" fillId="10" borderId="0" xfId="0" applyFont="1" applyFill="1" applyAlignment="1">
      <alignment horizontal="centerContinuous"/>
    </xf>
    <xf numFmtId="0" fontId="0" fillId="0" borderId="0" xfId="0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AFC65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AFC65A"/>
        </patternFill>
      </fill>
    </dxf>
  </dxfs>
  <tableStyles count="0" defaultTableStyle="TableStyleMedium9" defaultPivotStyle="PivotStyleLight16"/>
  <colors>
    <mruColors>
      <color rgb="FF0000FF"/>
      <color rgb="FF008000"/>
      <color rgb="FF009900"/>
      <color rgb="FF00CC00"/>
      <color rgb="FFAFC65A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592669</xdr:colOff>
      <xdr:row>0</xdr:row>
      <xdr:rowOff>131703</xdr:rowOff>
    </xdr:from>
    <xdr:to>
      <xdr:col>0</xdr:col>
      <xdr:colOff>2079039</xdr:colOff>
      <xdr:row>6</xdr:row>
      <xdr:rowOff>31358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FC83E1-1115-45B2-96A3-16B0762D6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669" y="131703"/>
          <a:ext cx="1486370" cy="972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342901</xdr:colOff>
      <xdr:row>1</xdr:row>
      <xdr:rowOff>7620</xdr:rowOff>
    </xdr:from>
    <xdr:to>
      <xdr:col>2</xdr:col>
      <xdr:colOff>68581</xdr:colOff>
      <xdr:row>5</xdr:row>
      <xdr:rowOff>120874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01E1BB-CB8D-46AD-B402-323CAC922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547" y="195189"/>
          <a:ext cx="1263748" cy="863531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7"/>
  <sheetViews>
    <sheetView showGridLines="0" tabSelected="1" zoomScale="81" zoomScaleNormal="120" zoomScalePageLayoutView="120" workbookViewId="0">
      <selection activeCell="E21" sqref="E21"/>
    </sheetView>
  </sheetViews>
  <sheetFormatPr defaultColWidth="8.77734375" defaultRowHeight="14.4" x14ac:dyDescent="0.3"/>
  <cols>
    <col min="1" max="1" width="31.77734375" style="12" bestFit="1" customWidth="1"/>
    <col min="2" max="4" width="13.44140625" style="4" bestFit="1" customWidth="1"/>
    <col min="5" max="5" width="13.44140625" style="4" customWidth="1"/>
    <col min="6" max="7" width="13.44140625" style="4" bestFit="1" customWidth="1"/>
    <col min="8" max="10" width="8.77734375" style="4"/>
    <col min="11" max="11" width="23.109375" style="12" customWidth="1"/>
    <col min="12" max="12" width="12.5546875" style="8" customWidth="1"/>
    <col min="13" max="16384" width="8.77734375" style="4"/>
  </cols>
  <sheetData>
    <row r="1" spans="1:12" s="2" customFormat="1" x14ac:dyDescent="0.3">
      <c r="A1" s="3" t="s">
        <v>33</v>
      </c>
      <c r="B1" s="3"/>
      <c r="C1" s="3"/>
      <c r="D1" s="3"/>
      <c r="E1" s="3"/>
      <c r="F1" s="3"/>
      <c r="G1" s="3"/>
      <c r="K1" s="11"/>
      <c r="L1" s="31"/>
    </row>
    <row r="2" spans="1:12" x14ac:dyDescent="0.3">
      <c r="B2" s="115"/>
      <c r="C2" s="115"/>
      <c r="D2" s="115"/>
      <c r="E2" s="115"/>
      <c r="F2" s="115"/>
      <c r="G2" s="115"/>
    </row>
    <row r="3" spans="1:12" x14ac:dyDescent="0.3">
      <c r="A3" s="115"/>
      <c r="B3" s="115"/>
      <c r="C3" s="115"/>
      <c r="D3" s="115"/>
      <c r="E3" s="115"/>
      <c r="F3" s="115"/>
      <c r="G3" s="115"/>
    </row>
    <row r="4" spans="1:12" x14ac:dyDescent="0.3">
      <c r="A4" s="115"/>
      <c r="B4" s="115"/>
      <c r="C4" s="115" t="s">
        <v>34</v>
      </c>
      <c r="E4" s="115"/>
      <c r="F4" s="115"/>
      <c r="G4" s="115"/>
    </row>
    <row r="5" spans="1:12" x14ac:dyDescent="0.3">
      <c r="A5" s="115"/>
      <c r="B5" s="115"/>
      <c r="C5" s="115"/>
      <c r="D5" s="115"/>
      <c r="E5" s="115"/>
      <c r="F5" s="115"/>
      <c r="G5" s="115"/>
    </row>
    <row r="6" spans="1:12" x14ac:dyDescent="0.3">
      <c r="A6" s="11"/>
      <c r="B6" s="9"/>
      <c r="C6" s="9"/>
      <c r="D6" s="9"/>
      <c r="E6" s="9"/>
      <c r="F6" s="187" t="s">
        <v>65</v>
      </c>
      <c r="G6" s="187"/>
    </row>
    <row r="7" spans="1:12" ht="14.4" customHeight="1" x14ac:dyDescent="0.3">
      <c r="A7" s="188" t="s">
        <v>66</v>
      </c>
      <c r="B7" s="188"/>
      <c r="C7" s="188"/>
      <c r="D7" s="188"/>
      <c r="E7" s="188"/>
      <c r="F7" s="188"/>
      <c r="G7" s="188"/>
    </row>
    <row r="8" spans="1:12" x14ac:dyDescent="0.3">
      <c r="A8" s="188"/>
      <c r="B8" s="188"/>
      <c r="C8" s="188"/>
      <c r="D8" s="188"/>
      <c r="E8" s="188"/>
      <c r="F8" s="188"/>
      <c r="G8" s="188"/>
    </row>
    <row r="9" spans="1:12" x14ac:dyDescent="0.3">
      <c r="A9" s="188"/>
      <c r="B9" s="188"/>
      <c r="C9" s="188"/>
      <c r="D9" s="188"/>
      <c r="E9" s="188"/>
      <c r="F9" s="188"/>
      <c r="G9" s="188"/>
    </row>
    <row r="10" spans="1:12" x14ac:dyDescent="0.3">
      <c r="A10" s="188"/>
      <c r="B10" s="188"/>
      <c r="C10" s="188"/>
      <c r="D10" s="188"/>
      <c r="E10" s="188"/>
      <c r="F10" s="188"/>
      <c r="G10" s="188"/>
    </row>
    <row r="11" spans="1:12" x14ac:dyDescent="0.3">
      <c r="A11" s="188"/>
      <c r="B11" s="188"/>
      <c r="C11" s="188"/>
      <c r="D11" s="188"/>
      <c r="E11" s="188"/>
      <c r="F11" s="188"/>
      <c r="G11" s="188"/>
    </row>
    <row r="12" spans="1:12" x14ac:dyDescent="0.3">
      <c r="A12" s="188"/>
      <c r="B12" s="188"/>
      <c r="C12" s="188"/>
      <c r="D12" s="188"/>
      <c r="E12" s="188"/>
      <c r="F12" s="188"/>
      <c r="G12" s="188"/>
    </row>
    <row r="13" spans="1:12" ht="15" thickBot="1" x14ac:dyDescent="0.35">
      <c r="A13" s="11"/>
      <c r="B13" s="10"/>
      <c r="C13" s="10"/>
      <c r="D13" s="10"/>
      <c r="E13" s="10"/>
      <c r="F13" s="10"/>
      <c r="G13" s="10"/>
    </row>
    <row r="14" spans="1:12" ht="15" thickBot="1" x14ac:dyDescent="0.35">
      <c r="A14" s="205" t="s">
        <v>96</v>
      </c>
      <c r="B14" s="206">
        <v>1253</v>
      </c>
      <c r="C14" s="209" t="s">
        <v>99</v>
      </c>
      <c r="E14" s="2"/>
      <c r="F14" s="2"/>
      <c r="G14" s="9"/>
    </row>
    <row r="15" spans="1:12" x14ac:dyDescent="0.3">
      <c r="A15" s="202" t="s">
        <v>101</v>
      </c>
      <c r="B15" s="207" t="s">
        <v>35</v>
      </c>
      <c r="C15" s="2"/>
      <c r="F15" s="11"/>
      <c r="G15" s="2"/>
    </row>
    <row r="16" spans="1:12" x14ac:dyDescent="0.3">
      <c r="A16" s="202" t="s">
        <v>100</v>
      </c>
      <c r="B16" s="207">
        <v>301.45</v>
      </c>
      <c r="C16" s="2"/>
      <c r="E16" s="2"/>
      <c r="F16" s="2"/>
      <c r="G16" s="2"/>
    </row>
    <row r="17" spans="1:12" x14ac:dyDescent="0.3">
      <c r="A17" s="202" t="s">
        <v>103</v>
      </c>
      <c r="B17" s="208">
        <v>377889</v>
      </c>
      <c r="C17" s="202" t="s">
        <v>104</v>
      </c>
      <c r="E17" s="202" t="s">
        <v>224</v>
      </c>
      <c r="F17" s="203" t="s">
        <v>225</v>
      </c>
      <c r="G17" s="2"/>
    </row>
    <row r="18" spans="1:12" x14ac:dyDescent="0.3">
      <c r="A18" s="202" t="s">
        <v>223</v>
      </c>
      <c r="B18" s="202"/>
      <c r="C18" s="11"/>
      <c r="E18" s="201" t="s">
        <v>107</v>
      </c>
      <c r="F18" s="204">
        <v>4.7600000000000003E-2</v>
      </c>
      <c r="G18" s="2"/>
    </row>
    <row r="21" spans="1:12" x14ac:dyDescent="0.3">
      <c r="A21" s="27" t="s">
        <v>13</v>
      </c>
      <c r="G21" s="61" t="s">
        <v>166</v>
      </c>
    </row>
    <row r="22" spans="1:12" s="6" customFormat="1" x14ac:dyDescent="0.3">
      <c r="A22" s="13" t="s">
        <v>14</v>
      </c>
      <c r="B22" s="65">
        <v>43921</v>
      </c>
      <c r="C22" s="65">
        <v>44286</v>
      </c>
      <c r="D22" s="65">
        <v>44651</v>
      </c>
      <c r="E22" s="65">
        <v>45016</v>
      </c>
      <c r="F22" s="65">
        <v>45382</v>
      </c>
      <c r="G22" s="65">
        <v>45747</v>
      </c>
      <c r="K22" s="32"/>
      <c r="L22" s="33"/>
    </row>
    <row r="23" spans="1:12" s="7" customFormat="1" x14ac:dyDescent="0.3">
      <c r="A23" s="14" t="s">
        <v>0</v>
      </c>
      <c r="B23" s="54">
        <v>49387.7</v>
      </c>
      <c r="C23" s="54">
        <v>49257.45</v>
      </c>
      <c r="D23" s="54">
        <v>60644.54</v>
      </c>
      <c r="E23" s="54">
        <v>70919.03</v>
      </c>
      <c r="F23" s="54">
        <v>67931.94</v>
      </c>
      <c r="G23" s="54">
        <v>75323.34</v>
      </c>
      <c r="K23" s="14"/>
      <c r="L23" s="34"/>
    </row>
    <row r="24" spans="1:12" s="7" customFormat="1" x14ac:dyDescent="0.3">
      <c r="A24" s="12" t="s">
        <v>25</v>
      </c>
      <c r="B24" s="54">
        <v>18048.599999999999</v>
      </c>
      <c r="C24" s="54">
        <v>20776.71</v>
      </c>
      <c r="D24" s="54">
        <v>27071.07</v>
      </c>
      <c r="E24" s="54">
        <v>29364.36</v>
      </c>
      <c r="F24" s="54">
        <v>27348.57</v>
      </c>
      <c r="G24" s="54">
        <v>32704.37</v>
      </c>
      <c r="K24" s="14"/>
      <c r="L24" s="34"/>
    </row>
    <row r="25" spans="1:12" s="7" customFormat="1" x14ac:dyDescent="0.3">
      <c r="A25" s="12" t="s">
        <v>26</v>
      </c>
      <c r="B25" s="54">
        <v>703.13</v>
      </c>
      <c r="C25" s="54">
        <v>645.27</v>
      </c>
      <c r="D25" s="54">
        <v>686</v>
      </c>
      <c r="E25" s="54">
        <v>358.59</v>
      </c>
      <c r="F25" s="54">
        <v>367.77</v>
      </c>
      <c r="G25" s="54">
        <v>725.65</v>
      </c>
      <c r="K25" s="14"/>
      <c r="L25" s="34"/>
    </row>
    <row r="26" spans="1:12" s="7" customFormat="1" x14ac:dyDescent="0.3">
      <c r="A26" s="12" t="s">
        <v>27</v>
      </c>
      <c r="B26" s="54">
        <v>780.85</v>
      </c>
      <c r="C26" s="54">
        <v>699.56</v>
      </c>
      <c r="D26" s="54">
        <v>889.77</v>
      </c>
      <c r="E26" s="54">
        <v>1232.3399999999999</v>
      </c>
      <c r="F26" s="54">
        <v>952.9</v>
      </c>
      <c r="G26" s="54">
        <v>975.35</v>
      </c>
      <c r="K26" s="14"/>
      <c r="L26" s="34"/>
    </row>
    <row r="27" spans="1:12" s="7" customFormat="1" x14ac:dyDescent="0.3">
      <c r="A27" s="12" t="s">
        <v>28</v>
      </c>
      <c r="B27" s="54">
        <v>1908.29</v>
      </c>
      <c r="C27" s="54">
        <v>1587.18</v>
      </c>
      <c r="D27" s="54">
        <v>1887.67</v>
      </c>
      <c r="E27" s="54">
        <v>2327.8000000000002</v>
      </c>
      <c r="F27" s="54">
        <v>2183.7600000000002</v>
      </c>
      <c r="G27" s="54">
        <v>2345.36</v>
      </c>
      <c r="K27" s="14"/>
      <c r="L27" s="34"/>
    </row>
    <row r="28" spans="1:12" s="7" customFormat="1" x14ac:dyDescent="0.3">
      <c r="A28" s="12" t="s">
        <v>29</v>
      </c>
      <c r="B28" s="54">
        <v>4295.79</v>
      </c>
      <c r="C28" s="54">
        <v>4463.33</v>
      </c>
      <c r="D28" s="54">
        <v>4890.55</v>
      </c>
      <c r="E28" s="54">
        <v>5736.22</v>
      </c>
      <c r="F28" s="54">
        <v>5548.53</v>
      </c>
      <c r="G28" s="54">
        <v>6169.78</v>
      </c>
      <c r="K28" s="14"/>
      <c r="L28" s="34"/>
    </row>
    <row r="29" spans="1:12" s="7" customFormat="1" x14ac:dyDescent="0.3">
      <c r="A29" s="12" t="s">
        <v>30</v>
      </c>
      <c r="B29" s="54">
        <v>4488.63</v>
      </c>
      <c r="C29" s="54">
        <v>4236.7700000000004</v>
      </c>
      <c r="D29" s="54">
        <v>4858.38</v>
      </c>
      <c r="E29" s="54">
        <v>5604.08</v>
      </c>
      <c r="F29" s="54">
        <v>5312.45</v>
      </c>
      <c r="G29" s="54">
        <v>5793.29</v>
      </c>
      <c r="K29" s="14"/>
      <c r="L29" s="34"/>
    </row>
    <row r="30" spans="1:12" s="7" customFormat="1" x14ac:dyDescent="0.3">
      <c r="A30" s="12" t="s">
        <v>31</v>
      </c>
      <c r="B30" s="54">
        <v>1225.1300000000001</v>
      </c>
      <c r="C30" s="54">
        <v>1074.3900000000001</v>
      </c>
      <c r="D30" s="54">
        <v>1109.95</v>
      </c>
      <c r="E30" s="54">
        <v>1308.56</v>
      </c>
      <c r="F30" s="54">
        <v>1765.97</v>
      </c>
      <c r="G30" s="54">
        <v>2221.39</v>
      </c>
      <c r="K30" s="14"/>
      <c r="L30" s="34"/>
    </row>
    <row r="31" spans="1:12" s="7" customFormat="1" x14ac:dyDescent="0.3">
      <c r="A31" s="14" t="s">
        <v>1</v>
      </c>
      <c r="B31" s="54">
        <v>2417.3200000000002</v>
      </c>
      <c r="C31" s="54">
        <v>2576.9499999999998</v>
      </c>
      <c r="D31" s="54">
        <v>1909.72</v>
      </c>
      <c r="E31" s="54">
        <v>2097.64</v>
      </c>
      <c r="F31" s="54">
        <v>3330.45</v>
      </c>
      <c r="G31" s="54">
        <v>17794.88</v>
      </c>
      <c r="K31" s="14"/>
      <c r="L31" s="34"/>
    </row>
    <row r="32" spans="1:12" s="7" customFormat="1" x14ac:dyDescent="0.3">
      <c r="A32" s="14" t="s">
        <v>2</v>
      </c>
      <c r="B32" s="54">
        <v>1644.91</v>
      </c>
      <c r="C32" s="54">
        <v>1645.59</v>
      </c>
      <c r="D32" s="54">
        <v>1732.41</v>
      </c>
      <c r="E32" s="54">
        <v>1809.01</v>
      </c>
      <c r="F32" s="54">
        <v>1518.05</v>
      </c>
      <c r="G32" s="54">
        <v>1646.32</v>
      </c>
      <c r="K32" s="14"/>
      <c r="L32" s="34"/>
    </row>
    <row r="33" spans="1:12" s="7" customFormat="1" x14ac:dyDescent="0.3">
      <c r="A33" s="14" t="s">
        <v>3</v>
      </c>
      <c r="B33" s="54">
        <v>81.38</v>
      </c>
      <c r="C33" s="54">
        <v>57.97</v>
      </c>
      <c r="D33" s="54">
        <v>59.99</v>
      </c>
      <c r="E33" s="54">
        <v>77.77</v>
      </c>
      <c r="F33" s="54">
        <v>39.11</v>
      </c>
      <c r="G33" s="54">
        <v>45.06</v>
      </c>
      <c r="K33" s="14"/>
      <c r="L33" s="34"/>
    </row>
    <row r="34" spans="1:12" s="7" customFormat="1" x14ac:dyDescent="0.3">
      <c r="A34" s="14" t="s">
        <v>4</v>
      </c>
      <c r="B34" s="54">
        <v>20034.57</v>
      </c>
      <c r="C34" s="54">
        <v>17938.169999999998</v>
      </c>
      <c r="D34" s="54">
        <v>20740.47</v>
      </c>
      <c r="E34" s="54">
        <v>25915.119999999999</v>
      </c>
      <c r="F34" s="54">
        <v>26960.82</v>
      </c>
      <c r="G34" s="54">
        <v>41942.949999999997</v>
      </c>
      <c r="K34" s="14"/>
      <c r="L34" s="34"/>
    </row>
    <row r="35" spans="1:12" s="7" customFormat="1" x14ac:dyDescent="0.3">
      <c r="A35" s="14" t="s">
        <v>5</v>
      </c>
      <c r="B35" s="54">
        <v>4441.79</v>
      </c>
      <c r="C35" s="54">
        <v>4555.29</v>
      </c>
      <c r="D35" s="54">
        <v>5237.34</v>
      </c>
      <c r="E35" s="54">
        <v>6438.4</v>
      </c>
      <c r="F35" s="54">
        <v>6209.46</v>
      </c>
      <c r="G35" s="54">
        <v>6890.47</v>
      </c>
      <c r="K35" s="14"/>
      <c r="L35" s="34"/>
    </row>
    <row r="36" spans="1:12" s="7" customFormat="1" x14ac:dyDescent="0.3">
      <c r="A36" s="14" t="s">
        <v>6</v>
      </c>
      <c r="B36" s="54">
        <v>15306.23</v>
      </c>
      <c r="C36" s="54">
        <v>13161.19</v>
      </c>
      <c r="D36" s="54">
        <v>15242.66</v>
      </c>
      <c r="E36" s="54">
        <v>19191.66</v>
      </c>
      <c r="F36" s="54">
        <v>20458.78</v>
      </c>
      <c r="G36" s="54">
        <v>34746.629999999997</v>
      </c>
      <c r="K36" s="14"/>
      <c r="L36" s="34"/>
    </row>
    <row r="37" spans="1:12" s="7" customFormat="1" x14ac:dyDescent="0.3">
      <c r="A37" s="14" t="s">
        <v>20</v>
      </c>
      <c r="B37" s="54">
        <v>12476.58</v>
      </c>
      <c r="C37" s="54">
        <v>13231.96</v>
      </c>
      <c r="D37" s="54">
        <v>14171.8</v>
      </c>
      <c r="E37" s="54">
        <v>19263.400000000001</v>
      </c>
      <c r="F37" s="54">
        <v>17166.46</v>
      </c>
      <c r="G37" s="54">
        <v>17957.73</v>
      </c>
      <c r="K37" s="14"/>
      <c r="L37" s="34"/>
    </row>
    <row r="38" spans="1:12" s="7" customFormat="1" x14ac:dyDescent="0.3">
      <c r="A38" s="14"/>
      <c r="B38" s="34"/>
      <c r="C38" s="34"/>
      <c r="D38" s="34"/>
      <c r="E38" s="34"/>
      <c r="F38" s="34"/>
      <c r="G38" s="34"/>
      <c r="K38" s="14"/>
      <c r="L38" s="34"/>
    </row>
    <row r="39" spans="1:12" x14ac:dyDescent="0.3">
      <c r="A39" s="14"/>
      <c r="B39" s="41"/>
      <c r="C39" s="41"/>
      <c r="D39" s="41"/>
      <c r="E39" s="41"/>
      <c r="F39" s="41"/>
      <c r="G39" s="41"/>
    </row>
    <row r="40" spans="1:12" x14ac:dyDescent="0.3">
      <c r="A40" s="14"/>
      <c r="B40" s="41"/>
      <c r="C40" s="41"/>
      <c r="D40" s="41"/>
      <c r="E40" s="41"/>
      <c r="F40" s="41"/>
      <c r="G40" s="41"/>
    </row>
    <row r="41" spans="1:12" x14ac:dyDescent="0.3">
      <c r="A41" s="27" t="s">
        <v>15</v>
      </c>
      <c r="B41" s="41"/>
      <c r="C41" s="41"/>
      <c r="D41" s="41"/>
      <c r="E41" s="41"/>
      <c r="F41" s="41"/>
      <c r="G41" s="41"/>
    </row>
    <row r="42" spans="1:12" s="6" customFormat="1" x14ac:dyDescent="0.3">
      <c r="A42" s="13" t="s">
        <v>14</v>
      </c>
      <c r="B42" s="66">
        <v>43921</v>
      </c>
      <c r="C42" s="66">
        <v>44286</v>
      </c>
      <c r="D42" s="66">
        <v>44651</v>
      </c>
      <c r="E42" s="66">
        <v>45016</v>
      </c>
      <c r="F42" s="66">
        <v>45382</v>
      </c>
      <c r="G42" s="66">
        <v>45747</v>
      </c>
      <c r="K42" s="32"/>
      <c r="L42" s="33"/>
    </row>
    <row r="43" spans="1:12" x14ac:dyDescent="0.3">
      <c r="A43" t="s">
        <v>186</v>
      </c>
      <c r="B43" s="150">
        <v>1229</v>
      </c>
      <c r="C43" s="150">
        <v>1231</v>
      </c>
      <c r="D43" s="150">
        <v>1232</v>
      </c>
      <c r="E43" s="150">
        <v>1243</v>
      </c>
      <c r="F43" s="150">
        <v>1248</v>
      </c>
      <c r="G43" s="150">
        <v>1251</v>
      </c>
    </row>
    <row r="44" spans="1:12" x14ac:dyDescent="0.3">
      <c r="A44" t="s">
        <v>7</v>
      </c>
      <c r="B44" s="150">
        <v>64044</v>
      </c>
      <c r="C44" s="150">
        <v>59116</v>
      </c>
      <c r="D44" s="150">
        <v>61223</v>
      </c>
      <c r="E44" s="150">
        <v>67912</v>
      </c>
      <c r="F44" s="150">
        <v>73259</v>
      </c>
      <c r="G44" s="150">
        <v>68779</v>
      </c>
    </row>
    <row r="45" spans="1:12" x14ac:dyDescent="0.3">
      <c r="A45" s="151" t="s">
        <v>21</v>
      </c>
      <c r="B45" s="152">
        <v>277</v>
      </c>
      <c r="C45" s="152">
        <v>271</v>
      </c>
      <c r="D45" s="152">
        <v>249</v>
      </c>
      <c r="E45" s="152">
        <v>306</v>
      </c>
      <c r="F45" s="152">
        <v>303</v>
      </c>
      <c r="G45" s="152">
        <v>285</v>
      </c>
    </row>
    <row r="46" spans="1:12" s="2" customFormat="1" x14ac:dyDescent="0.3">
      <c r="A46" t="s">
        <v>127</v>
      </c>
      <c r="B46" s="150">
        <v>6</v>
      </c>
      <c r="C46" s="150">
        <v>6</v>
      </c>
      <c r="D46" s="150">
        <v>5</v>
      </c>
      <c r="E46" s="150">
        <v>3</v>
      </c>
      <c r="F46" s="150">
        <v>2</v>
      </c>
      <c r="G46" s="150">
        <v>0</v>
      </c>
      <c r="K46" s="11"/>
      <c r="L46" s="31"/>
    </row>
    <row r="47" spans="1:12" x14ac:dyDescent="0.3">
      <c r="A47" t="s">
        <v>128</v>
      </c>
      <c r="B47" s="150">
        <v>1</v>
      </c>
      <c r="C47" s="150">
        <v>4</v>
      </c>
      <c r="D47" s="150">
        <v>1</v>
      </c>
      <c r="E47" s="150">
        <v>35</v>
      </c>
      <c r="F47" s="150">
        <v>10</v>
      </c>
      <c r="G47" s="150">
        <v>91</v>
      </c>
    </row>
    <row r="48" spans="1:12" x14ac:dyDescent="0.3">
      <c r="A48" t="s">
        <v>129</v>
      </c>
      <c r="B48" s="150">
        <v>268</v>
      </c>
      <c r="C48" s="150">
        <v>261</v>
      </c>
      <c r="D48" s="150">
        <v>244</v>
      </c>
      <c r="E48" s="150">
        <v>267</v>
      </c>
      <c r="F48" s="150">
        <v>292</v>
      </c>
      <c r="G48" s="150">
        <v>193</v>
      </c>
    </row>
    <row r="49" spans="1:12" x14ac:dyDescent="0.3">
      <c r="A49" t="s">
        <v>130</v>
      </c>
      <c r="B49" s="150">
        <v>2</v>
      </c>
      <c r="C49" s="150">
        <v>0</v>
      </c>
      <c r="D49" s="150">
        <v>0</v>
      </c>
      <c r="E49" s="150">
        <v>0</v>
      </c>
      <c r="F49" s="150">
        <v>0</v>
      </c>
      <c r="G49" s="150">
        <v>0</v>
      </c>
    </row>
    <row r="50" spans="1:12" x14ac:dyDescent="0.3">
      <c r="A50" s="151" t="s">
        <v>22</v>
      </c>
      <c r="B50" s="152">
        <v>11760</v>
      </c>
      <c r="C50" s="152">
        <v>13143</v>
      </c>
      <c r="D50" s="152">
        <v>14491</v>
      </c>
      <c r="E50" s="152">
        <v>16370</v>
      </c>
      <c r="F50" s="152">
        <v>16944</v>
      </c>
      <c r="G50" s="152">
        <v>17688</v>
      </c>
    </row>
    <row r="51" spans="1:12" s="2" customFormat="1" x14ac:dyDescent="0.3">
      <c r="A51" t="s">
        <v>131</v>
      </c>
      <c r="B51" s="150">
        <v>377</v>
      </c>
      <c r="C51" s="150">
        <v>347</v>
      </c>
      <c r="D51" s="150">
        <v>366</v>
      </c>
      <c r="E51" s="150">
        <v>384</v>
      </c>
      <c r="F51" s="150">
        <v>383</v>
      </c>
      <c r="G51" s="150">
        <v>368</v>
      </c>
      <c r="K51" s="11"/>
      <c r="L51" s="31"/>
    </row>
    <row r="52" spans="1:12" s="7" customFormat="1" x14ac:dyDescent="0.3">
      <c r="A52" t="s">
        <v>132</v>
      </c>
      <c r="B52" s="150">
        <v>3630</v>
      </c>
      <c r="C52" s="150">
        <v>4319</v>
      </c>
      <c r="D52" s="150">
        <v>4417</v>
      </c>
      <c r="E52" s="150">
        <v>4659</v>
      </c>
      <c r="F52" s="150">
        <v>4798</v>
      </c>
      <c r="G52" s="150">
        <v>4807</v>
      </c>
      <c r="K52" s="14"/>
      <c r="L52" s="34"/>
    </row>
    <row r="53" spans="1:12" x14ac:dyDescent="0.3">
      <c r="A53" t="s">
        <v>133</v>
      </c>
      <c r="B53" s="150">
        <v>703</v>
      </c>
      <c r="C53" s="150">
        <v>811</v>
      </c>
      <c r="D53" s="150">
        <v>1278</v>
      </c>
      <c r="E53" s="150">
        <v>1295</v>
      </c>
      <c r="F53" s="150">
        <v>886</v>
      </c>
      <c r="G53" s="150">
        <v>1264</v>
      </c>
    </row>
    <row r="54" spans="1:12" x14ac:dyDescent="0.3">
      <c r="A54" t="s">
        <v>134</v>
      </c>
      <c r="B54" s="150">
        <v>7050</v>
      </c>
      <c r="C54" s="150">
        <v>7666</v>
      </c>
      <c r="D54" s="150">
        <v>8429</v>
      </c>
      <c r="E54" s="150">
        <v>10032</v>
      </c>
      <c r="F54" s="150">
        <v>10877</v>
      </c>
      <c r="G54" s="150">
        <v>11249</v>
      </c>
    </row>
    <row r="55" spans="1:12" x14ac:dyDescent="0.3">
      <c r="A55" s="151" t="s">
        <v>135</v>
      </c>
      <c r="B55" s="152">
        <v>77311</v>
      </c>
      <c r="C55" s="152">
        <v>73761</v>
      </c>
      <c r="D55" s="152">
        <v>77196</v>
      </c>
      <c r="E55" s="152">
        <v>85831</v>
      </c>
      <c r="F55" s="152">
        <v>91754</v>
      </c>
      <c r="G55" s="152">
        <v>88003</v>
      </c>
      <c r="L55" s="43"/>
    </row>
    <row r="56" spans="1:12" x14ac:dyDescent="0.3">
      <c r="A56" s="151" t="s">
        <v>136</v>
      </c>
      <c r="B56" s="152">
        <v>21713</v>
      </c>
      <c r="C56" s="152">
        <v>23298</v>
      </c>
      <c r="D56" s="152">
        <v>24232</v>
      </c>
      <c r="E56" s="152">
        <v>25851</v>
      </c>
      <c r="F56" s="152">
        <v>27820</v>
      </c>
      <c r="G56" s="152">
        <v>21955</v>
      </c>
      <c r="L56" s="43"/>
    </row>
    <row r="57" spans="1:12" x14ac:dyDescent="0.3">
      <c r="A57" t="s">
        <v>137</v>
      </c>
      <c r="B57" s="150">
        <v>2797</v>
      </c>
      <c r="C57" s="150">
        <v>2889</v>
      </c>
      <c r="D57" s="150">
        <v>2829</v>
      </c>
      <c r="E57" s="150">
        <v>2830</v>
      </c>
      <c r="F57" s="150">
        <v>2865</v>
      </c>
      <c r="G57" s="150">
        <v>1588</v>
      </c>
      <c r="L57" s="43"/>
    </row>
    <row r="58" spans="1:12" x14ac:dyDescent="0.3">
      <c r="A58" t="s">
        <v>138</v>
      </c>
      <c r="B58" s="150">
        <v>8161</v>
      </c>
      <c r="C58" s="150">
        <v>8387</v>
      </c>
      <c r="D58" s="150">
        <v>9100</v>
      </c>
      <c r="E58" s="150">
        <v>9789</v>
      </c>
      <c r="F58" s="150">
        <v>10944</v>
      </c>
      <c r="G58" s="150">
        <v>7550</v>
      </c>
      <c r="L58" s="43"/>
    </row>
    <row r="59" spans="1:12" x14ac:dyDescent="0.3">
      <c r="A59" t="s">
        <v>139</v>
      </c>
      <c r="B59" s="150">
        <v>14625</v>
      </c>
      <c r="C59" s="150">
        <v>15307</v>
      </c>
      <c r="D59" s="150">
        <v>16912</v>
      </c>
      <c r="E59" s="150">
        <v>18480</v>
      </c>
      <c r="F59" s="150">
        <v>20718</v>
      </c>
      <c r="G59" s="150">
        <v>19423</v>
      </c>
      <c r="L59" s="43"/>
    </row>
    <row r="60" spans="1:12" x14ac:dyDescent="0.3">
      <c r="A60" t="s">
        <v>140</v>
      </c>
      <c r="B60" s="150">
        <v>40</v>
      </c>
      <c r="C60" s="150">
        <v>41</v>
      </c>
      <c r="D60" s="150">
        <v>44</v>
      </c>
      <c r="E60" s="150">
        <v>44</v>
      </c>
      <c r="F60" s="150">
        <v>53</v>
      </c>
      <c r="G60" s="150">
        <v>63</v>
      </c>
      <c r="L60" s="43"/>
    </row>
    <row r="61" spans="1:12" x14ac:dyDescent="0.3">
      <c r="A61" t="s">
        <v>141</v>
      </c>
      <c r="B61" s="150">
        <v>810</v>
      </c>
      <c r="C61" s="150">
        <v>833</v>
      </c>
      <c r="D61" s="150">
        <v>907</v>
      </c>
      <c r="E61" s="150">
        <v>1000</v>
      </c>
      <c r="F61" s="150">
        <v>1068</v>
      </c>
      <c r="G61" s="150">
        <v>282</v>
      </c>
      <c r="L61" s="43"/>
    </row>
    <row r="62" spans="1:12" x14ac:dyDescent="0.3">
      <c r="A62" t="s">
        <v>142</v>
      </c>
      <c r="B62" s="150">
        <v>2</v>
      </c>
      <c r="C62" s="150">
        <v>2</v>
      </c>
      <c r="D62" s="150">
        <v>2</v>
      </c>
      <c r="E62" s="150">
        <v>2</v>
      </c>
      <c r="F62" s="150">
        <v>2</v>
      </c>
      <c r="G62" s="150">
        <v>2</v>
      </c>
      <c r="L62" s="43"/>
    </row>
    <row r="63" spans="1:12" x14ac:dyDescent="0.3">
      <c r="A63" t="s">
        <v>143</v>
      </c>
      <c r="B63" s="150">
        <v>184</v>
      </c>
      <c r="C63" s="150">
        <v>180</v>
      </c>
      <c r="D63" s="150">
        <v>179</v>
      </c>
      <c r="E63" s="150">
        <v>189</v>
      </c>
      <c r="F63" s="150">
        <v>192</v>
      </c>
      <c r="G63" s="150">
        <v>141</v>
      </c>
      <c r="L63" s="43"/>
    </row>
    <row r="64" spans="1:12" x14ac:dyDescent="0.3">
      <c r="A64" t="s">
        <v>144</v>
      </c>
      <c r="B64" s="150">
        <v>684</v>
      </c>
      <c r="C64" s="150">
        <v>2734</v>
      </c>
      <c r="D64" s="150">
        <v>2744</v>
      </c>
      <c r="E64" s="150">
        <v>3490</v>
      </c>
      <c r="F64" s="150">
        <v>3505</v>
      </c>
      <c r="G64" s="150">
        <v>3622</v>
      </c>
      <c r="L64" s="43"/>
    </row>
    <row r="65" spans="1:12" x14ac:dyDescent="0.3">
      <c r="A65" t="s">
        <v>145</v>
      </c>
      <c r="B65" s="150">
        <v>663</v>
      </c>
      <c r="C65" s="150">
        <v>716</v>
      </c>
      <c r="D65" s="150">
        <v>719</v>
      </c>
      <c r="E65" s="150">
        <v>786</v>
      </c>
      <c r="F65" s="150">
        <v>841</v>
      </c>
      <c r="G65" s="150">
        <v>967</v>
      </c>
      <c r="L65" s="43"/>
    </row>
    <row r="66" spans="1:12" x14ac:dyDescent="0.3">
      <c r="A66" s="151" t="s">
        <v>146</v>
      </c>
      <c r="B66" s="152">
        <v>27965</v>
      </c>
      <c r="C66" s="152">
        <v>31088</v>
      </c>
      <c r="D66" s="152">
        <v>33435</v>
      </c>
      <c r="E66" s="152">
        <v>36608</v>
      </c>
      <c r="F66" s="152">
        <v>40189</v>
      </c>
      <c r="G66" s="152">
        <v>33638</v>
      </c>
      <c r="L66" s="43"/>
    </row>
    <row r="67" spans="1:12" x14ac:dyDescent="0.3">
      <c r="A67" t="s">
        <v>147</v>
      </c>
      <c r="B67" s="150">
        <v>6252</v>
      </c>
      <c r="C67" s="150">
        <v>7790</v>
      </c>
      <c r="D67" s="150">
        <v>9204</v>
      </c>
      <c r="E67" s="150">
        <v>10757</v>
      </c>
      <c r="F67" s="150">
        <v>12368</v>
      </c>
      <c r="G67" s="150">
        <v>11683</v>
      </c>
      <c r="L67" s="43"/>
    </row>
    <row r="68" spans="1:12" x14ac:dyDescent="0.3">
      <c r="A68" t="s">
        <v>148</v>
      </c>
      <c r="B68" s="150">
        <v>3256</v>
      </c>
      <c r="C68" s="150">
        <v>4011</v>
      </c>
      <c r="D68" s="150">
        <v>3226</v>
      </c>
      <c r="E68" s="150">
        <v>3003</v>
      </c>
      <c r="F68" s="150">
        <v>2861</v>
      </c>
      <c r="G68" s="150">
        <v>1091</v>
      </c>
      <c r="L68" s="43"/>
    </row>
    <row r="69" spans="1:12" x14ac:dyDescent="0.3">
      <c r="A69" t="s">
        <v>8</v>
      </c>
      <c r="B69" s="150">
        <v>28663</v>
      </c>
      <c r="C69" s="150">
        <v>24871</v>
      </c>
      <c r="D69" s="150">
        <v>24841</v>
      </c>
      <c r="E69" s="150">
        <v>29415</v>
      </c>
      <c r="F69" s="150">
        <v>31114</v>
      </c>
      <c r="G69" s="150">
        <v>34720</v>
      </c>
      <c r="L69" s="43"/>
    </row>
    <row r="70" spans="1:12" x14ac:dyDescent="0.3">
      <c r="A70" s="151" t="s">
        <v>23</v>
      </c>
      <c r="B70" s="152">
        <v>23678</v>
      </c>
      <c r="C70" s="152">
        <v>21580</v>
      </c>
      <c r="D70" s="152">
        <v>24898</v>
      </c>
      <c r="E70" s="152">
        <v>27561</v>
      </c>
      <c r="F70" s="152">
        <v>29959</v>
      </c>
      <c r="G70" s="152">
        <v>30237</v>
      </c>
      <c r="L70" s="43"/>
    </row>
    <row r="71" spans="1:12" x14ac:dyDescent="0.3">
      <c r="A71" s="151" t="s">
        <v>149</v>
      </c>
      <c r="B71" s="152">
        <v>8879</v>
      </c>
      <c r="C71" s="152">
        <v>10397</v>
      </c>
      <c r="D71" s="152">
        <v>10864</v>
      </c>
      <c r="E71" s="152">
        <v>11771</v>
      </c>
      <c r="F71" s="152">
        <v>14153</v>
      </c>
      <c r="G71" s="152">
        <v>15638</v>
      </c>
      <c r="L71" s="43"/>
    </row>
    <row r="72" spans="1:12" x14ac:dyDescent="0.3">
      <c r="A72" s="151" t="s">
        <v>187</v>
      </c>
      <c r="B72" s="152">
        <v>2562</v>
      </c>
      <c r="C72" s="152">
        <v>2502</v>
      </c>
      <c r="D72" s="152">
        <v>2462</v>
      </c>
      <c r="E72" s="152">
        <v>2956</v>
      </c>
      <c r="F72" s="152">
        <v>4026</v>
      </c>
      <c r="G72" s="152">
        <v>4720</v>
      </c>
      <c r="L72" s="43"/>
    </row>
    <row r="73" spans="1:12" x14ac:dyDescent="0.3">
      <c r="A73" t="s">
        <v>188</v>
      </c>
      <c r="B73" s="150">
        <v>0</v>
      </c>
      <c r="C73" s="150">
        <v>0</v>
      </c>
      <c r="D73" s="150">
        <v>0</v>
      </c>
      <c r="E73" s="150">
        <v>0</v>
      </c>
      <c r="F73" s="150">
        <v>184</v>
      </c>
      <c r="G73" s="150">
        <v>256</v>
      </c>
      <c r="L73" s="43"/>
    </row>
    <row r="74" spans="1:12" x14ac:dyDescent="0.3">
      <c r="A74" t="s">
        <v>189</v>
      </c>
      <c r="B74" s="150">
        <v>2737</v>
      </c>
      <c r="C74" s="150">
        <v>2696</v>
      </c>
      <c r="D74" s="150">
        <v>2659</v>
      </c>
      <c r="E74" s="150">
        <v>3154</v>
      </c>
      <c r="F74" s="150">
        <v>4030</v>
      </c>
      <c r="G74" s="150">
        <v>4640</v>
      </c>
      <c r="L74" s="43"/>
    </row>
    <row r="75" spans="1:12" x14ac:dyDescent="0.3">
      <c r="A75" t="s">
        <v>190</v>
      </c>
      <c r="B75" s="150">
        <v>-175</v>
      </c>
      <c r="C75" s="150">
        <v>-195</v>
      </c>
      <c r="D75" s="150">
        <v>-197</v>
      </c>
      <c r="E75" s="150">
        <v>-198</v>
      </c>
      <c r="F75" s="150">
        <v>-188</v>
      </c>
      <c r="G75" s="150">
        <v>-176</v>
      </c>
      <c r="L75" s="43"/>
    </row>
    <row r="76" spans="1:12" x14ac:dyDescent="0.3">
      <c r="A76" t="s">
        <v>150</v>
      </c>
      <c r="B76" s="150">
        <v>7277</v>
      </c>
      <c r="C76" s="150">
        <v>4659</v>
      </c>
      <c r="D76" s="150">
        <v>4654</v>
      </c>
      <c r="E76" s="150">
        <v>4880</v>
      </c>
      <c r="F76" s="150">
        <v>7218</v>
      </c>
      <c r="G76" s="150">
        <v>4012</v>
      </c>
      <c r="L76" s="43"/>
    </row>
    <row r="77" spans="1:12" x14ac:dyDescent="0.3">
      <c r="A77" t="s">
        <v>151</v>
      </c>
      <c r="B77" s="150">
        <v>6</v>
      </c>
      <c r="C77" s="150">
        <v>7</v>
      </c>
      <c r="D77" s="150">
        <v>11</v>
      </c>
      <c r="E77" s="150">
        <v>13</v>
      </c>
      <c r="F77" s="150">
        <v>31</v>
      </c>
      <c r="G77" s="150">
        <v>10</v>
      </c>
      <c r="L77" s="43"/>
    </row>
    <row r="78" spans="1:12" x14ac:dyDescent="0.3">
      <c r="A78" t="s">
        <v>152</v>
      </c>
      <c r="B78" s="150">
        <v>4952</v>
      </c>
      <c r="C78" s="150">
        <v>4015</v>
      </c>
      <c r="D78" s="150">
        <v>6906</v>
      </c>
      <c r="E78" s="150">
        <v>7941</v>
      </c>
      <c r="F78" s="150">
        <v>4531</v>
      </c>
      <c r="G78" s="150">
        <v>5858</v>
      </c>
    </row>
    <row r="79" spans="1:12" x14ac:dyDescent="0.3">
      <c r="A79" s="151" t="s">
        <v>153</v>
      </c>
      <c r="B79" s="152">
        <v>77311</v>
      </c>
      <c r="C79" s="152">
        <v>73761</v>
      </c>
      <c r="D79" s="152">
        <v>77196</v>
      </c>
      <c r="E79" s="152">
        <v>85831</v>
      </c>
      <c r="F79" s="152">
        <v>91754</v>
      </c>
      <c r="G79" s="152">
        <v>88003</v>
      </c>
    </row>
    <row r="80" spans="1:12" x14ac:dyDescent="0.3">
      <c r="A80" s="12" t="s">
        <v>32</v>
      </c>
      <c r="B80" s="44">
        <v>1</v>
      </c>
      <c r="C80" s="44">
        <v>1</v>
      </c>
      <c r="D80" s="44">
        <v>1</v>
      </c>
      <c r="E80" s="44">
        <v>1</v>
      </c>
      <c r="F80" s="44">
        <v>1</v>
      </c>
      <c r="G80" s="44">
        <v>1</v>
      </c>
    </row>
    <row r="81" spans="1:12" x14ac:dyDescent="0.3">
      <c r="B81" s="41"/>
      <c r="C81" s="41"/>
      <c r="D81" s="41"/>
      <c r="E81" s="41"/>
      <c r="F81" s="41"/>
      <c r="G81" s="41"/>
    </row>
    <row r="82" spans="1:12" x14ac:dyDescent="0.3">
      <c r="B82" s="43"/>
      <c r="C82" s="43"/>
      <c r="D82" s="43"/>
      <c r="E82" s="43"/>
      <c r="F82" s="43"/>
      <c r="G82" s="43"/>
      <c r="L82" s="43"/>
    </row>
    <row r="83" spans="1:12" x14ac:dyDescent="0.3">
      <c r="B83" s="43"/>
      <c r="C83" s="43"/>
      <c r="D83" s="43"/>
      <c r="E83" s="43"/>
      <c r="F83" s="43"/>
      <c r="G83" s="43"/>
      <c r="L83" s="43"/>
    </row>
    <row r="84" spans="1:12" x14ac:dyDescent="0.3">
      <c r="B84" s="43"/>
      <c r="C84" s="43"/>
      <c r="D84" s="43"/>
      <c r="E84" s="43"/>
      <c r="F84" s="43"/>
      <c r="G84" s="43"/>
      <c r="L84" s="43"/>
    </row>
    <row r="85" spans="1:12" x14ac:dyDescent="0.3">
      <c r="B85" s="43"/>
      <c r="C85" s="43"/>
      <c r="D85" s="43"/>
      <c r="E85" s="43"/>
      <c r="F85" s="43"/>
      <c r="G85" s="43"/>
      <c r="L85" s="43"/>
    </row>
    <row r="86" spans="1:12" x14ac:dyDescent="0.3">
      <c r="A86" s="14"/>
      <c r="B86" s="41"/>
      <c r="C86" s="41"/>
      <c r="D86" s="41"/>
      <c r="E86" s="41"/>
      <c r="F86" s="41"/>
      <c r="G86" s="41"/>
    </row>
    <row r="87" spans="1:12" x14ac:dyDescent="0.3">
      <c r="A87" s="27" t="s">
        <v>16</v>
      </c>
      <c r="B87" s="41"/>
      <c r="C87" s="41"/>
      <c r="D87" s="41"/>
      <c r="E87" s="41"/>
      <c r="F87" s="41"/>
      <c r="G87" s="41"/>
    </row>
    <row r="88" spans="1:12" s="6" customFormat="1" x14ac:dyDescent="0.3">
      <c r="A88" s="13" t="s">
        <v>14</v>
      </c>
      <c r="B88" s="65">
        <v>43921</v>
      </c>
      <c r="C88" s="65">
        <v>44286</v>
      </c>
      <c r="D88" s="65">
        <v>44651</v>
      </c>
      <c r="E88" s="65">
        <v>45016</v>
      </c>
      <c r="F88" s="65">
        <v>45382</v>
      </c>
      <c r="G88" s="65">
        <v>45747</v>
      </c>
      <c r="K88" s="32"/>
      <c r="L88" s="33"/>
    </row>
    <row r="89" spans="1:12" s="2" customFormat="1" x14ac:dyDescent="0.3">
      <c r="A89" s="15" t="s">
        <v>9</v>
      </c>
      <c r="B89" s="54">
        <v>14690</v>
      </c>
      <c r="C89" s="54">
        <v>12527</v>
      </c>
      <c r="D89" s="54">
        <v>15776</v>
      </c>
      <c r="E89" s="54">
        <v>18878</v>
      </c>
      <c r="F89" s="54">
        <v>17179</v>
      </c>
      <c r="G89" s="54">
        <v>17627</v>
      </c>
      <c r="K89" s="11"/>
      <c r="L89" s="31"/>
    </row>
    <row r="90" spans="1:12" s="7" customFormat="1" x14ac:dyDescent="0.3">
      <c r="A90" s="15" t="s">
        <v>36</v>
      </c>
      <c r="B90" s="54">
        <v>19416</v>
      </c>
      <c r="C90" s="54">
        <v>17326</v>
      </c>
      <c r="D90" s="54">
        <v>20857</v>
      </c>
      <c r="E90" s="54">
        <v>26052</v>
      </c>
      <c r="F90" s="54">
        <v>26635</v>
      </c>
      <c r="G90" s="54">
        <v>26719</v>
      </c>
      <c r="K90" s="14"/>
      <c r="L90" s="34"/>
    </row>
    <row r="91" spans="1:12" s="7" customFormat="1" x14ac:dyDescent="0.3">
      <c r="A91" s="15" t="s">
        <v>24</v>
      </c>
      <c r="B91" s="54">
        <v>1411</v>
      </c>
      <c r="C91" s="54">
        <v>-66</v>
      </c>
      <c r="D91" s="54">
        <v>-732</v>
      </c>
      <c r="E91" s="54">
        <v>-884</v>
      </c>
      <c r="F91" s="54">
        <v>-934</v>
      </c>
      <c r="G91" s="54">
        <v>-1023</v>
      </c>
      <c r="K91" s="14"/>
      <c r="L91" s="34"/>
    </row>
    <row r="92" spans="1:12" s="2" customFormat="1" x14ac:dyDescent="0.3">
      <c r="A92" s="15" t="s">
        <v>18</v>
      </c>
      <c r="B92" s="54">
        <v>-508</v>
      </c>
      <c r="C92" s="54">
        <v>-1460</v>
      </c>
      <c r="D92" s="54">
        <v>-466</v>
      </c>
      <c r="E92" s="54">
        <v>-1098</v>
      </c>
      <c r="F92" s="54">
        <v>-2545</v>
      </c>
      <c r="G92" s="54">
        <v>-2975</v>
      </c>
      <c r="K92" s="11"/>
      <c r="L92" s="31"/>
    </row>
    <row r="93" spans="1:12" x14ac:dyDescent="0.3">
      <c r="A93" s="15" t="s">
        <v>37</v>
      </c>
      <c r="B93" s="54">
        <v>-607</v>
      </c>
      <c r="C93" s="54">
        <v>1112</v>
      </c>
      <c r="D93" s="54">
        <v>1099</v>
      </c>
      <c r="E93" s="54">
        <v>1058</v>
      </c>
      <c r="F93" s="54">
        <v>141</v>
      </c>
      <c r="G93" s="54">
        <v>1256</v>
      </c>
    </row>
    <row r="94" spans="1:12" x14ac:dyDescent="0.3">
      <c r="A94" s="15" t="s">
        <v>38</v>
      </c>
      <c r="B94" s="54">
        <v>296</v>
      </c>
      <c r="C94" s="54">
        <v>-413</v>
      </c>
      <c r="D94" s="54">
        <v>-100</v>
      </c>
      <c r="E94" s="54">
        <v>-924</v>
      </c>
      <c r="F94" s="54">
        <v>-3337</v>
      </c>
      <c r="G94" s="54">
        <v>-2742</v>
      </c>
    </row>
    <row r="95" spans="1:12" x14ac:dyDescent="0.3">
      <c r="A95" s="15" t="s">
        <v>39</v>
      </c>
      <c r="B95" s="54">
        <v>-5023</v>
      </c>
      <c r="C95" s="54">
        <v>-4387</v>
      </c>
      <c r="D95" s="54">
        <v>-4982</v>
      </c>
      <c r="E95" s="54">
        <v>-6250</v>
      </c>
      <c r="F95" s="54">
        <v>-6120</v>
      </c>
      <c r="G95" s="54">
        <v>-6350</v>
      </c>
    </row>
    <row r="96" spans="1:12" x14ac:dyDescent="0.3">
      <c r="A96" s="15" t="s">
        <v>10</v>
      </c>
      <c r="B96" s="54">
        <v>-6174</v>
      </c>
      <c r="C96" s="54">
        <v>5740</v>
      </c>
      <c r="D96" s="54">
        <v>-2238</v>
      </c>
      <c r="E96" s="54">
        <v>-5732</v>
      </c>
      <c r="F96" s="54">
        <v>1563</v>
      </c>
      <c r="G96" s="54">
        <v>-564</v>
      </c>
    </row>
    <row r="97" spans="1:12" s="2" customFormat="1" x14ac:dyDescent="0.3">
      <c r="A97" s="15" t="s">
        <v>40</v>
      </c>
      <c r="B97" s="54">
        <v>-2441</v>
      </c>
      <c r="C97" s="54">
        <v>-1837</v>
      </c>
      <c r="D97" s="54">
        <v>-2142</v>
      </c>
      <c r="E97" s="54">
        <v>-2743</v>
      </c>
      <c r="F97" s="54">
        <v>-3563</v>
      </c>
      <c r="G97" s="54">
        <v>-2279</v>
      </c>
      <c r="K97" s="11"/>
      <c r="L97" s="31"/>
    </row>
    <row r="98" spans="1:12" x14ac:dyDescent="0.3">
      <c r="A98" s="15" t="s">
        <v>41</v>
      </c>
      <c r="B98" s="54">
        <v>27</v>
      </c>
      <c r="C98" s="54">
        <v>3</v>
      </c>
      <c r="D98" s="54">
        <v>133</v>
      </c>
      <c r="E98" s="54">
        <v>49</v>
      </c>
      <c r="F98" s="54">
        <v>107</v>
      </c>
      <c r="G98" s="54">
        <v>175</v>
      </c>
    </row>
    <row r="99" spans="1:12" s="2" customFormat="1" x14ac:dyDescent="0.3">
      <c r="A99" s="15" t="s">
        <v>42</v>
      </c>
      <c r="B99" s="54">
        <v>-79835</v>
      </c>
      <c r="C99" s="54">
        <v>-57553</v>
      </c>
      <c r="D99" s="54">
        <v>-69776</v>
      </c>
      <c r="E99" s="54">
        <v>-80932</v>
      </c>
      <c r="F99" s="54">
        <v>-75107</v>
      </c>
      <c r="G99" s="54">
        <v>-66373</v>
      </c>
      <c r="K99" s="11"/>
      <c r="L99" s="31"/>
    </row>
    <row r="100" spans="1:12" x14ac:dyDescent="0.3">
      <c r="A100" s="15" t="s">
        <v>43</v>
      </c>
      <c r="B100" s="54">
        <v>75835</v>
      </c>
      <c r="C100" s="54">
        <v>62797</v>
      </c>
      <c r="D100" s="54">
        <v>70992</v>
      </c>
      <c r="E100" s="54">
        <v>77230</v>
      </c>
      <c r="F100" s="54">
        <v>77830</v>
      </c>
      <c r="G100" s="54">
        <v>67311</v>
      </c>
    </row>
    <row r="101" spans="1:12" x14ac:dyDescent="0.3">
      <c r="A101" s="15" t="s">
        <v>44</v>
      </c>
      <c r="B101" s="54">
        <v>1513</v>
      </c>
      <c r="C101" s="54">
        <v>1275</v>
      </c>
      <c r="D101" s="54">
        <v>1035</v>
      </c>
      <c r="E101" s="54">
        <v>1324</v>
      </c>
      <c r="F101" s="54">
        <v>1138</v>
      </c>
      <c r="G101" s="54">
        <v>1072</v>
      </c>
    </row>
    <row r="102" spans="1:12" x14ac:dyDescent="0.3">
      <c r="A102" s="15" t="s">
        <v>45</v>
      </c>
      <c r="B102" s="54">
        <v>17</v>
      </c>
      <c r="C102" s="54">
        <v>7</v>
      </c>
      <c r="D102" s="54">
        <v>16</v>
      </c>
      <c r="E102" s="54">
        <v>19</v>
      </c>
      <c r="F102" s="54">
        <v>36</v>
      </c>
      <c r="G102" s="54">
        <v>38</v>
      </c>
    </row>
    <row r="103" spans="1:12" x14ac:dyDescent="0.3">
      <c r="A103" s="15" t="s">
        <v>46</v>
      </c>
      <c r="B103" s="54">
        <v>0</v>
      </c>
      <c r="C103" s="54">
        <v>0</v>
      </c>
      <c r="D103" s="54">
        <v>0</v>
      </c>
      <c r="E103" s="54">
        <v>0</v>
      </c>
      <c r="F103" s="54">
        <v>0</v>
      </c>
      <c r="G103" s="54">
        <v>0</v>
      </c>
    </row>
    <row r="104" spans="1:12" x14ac:dyDescent="0.3">
      <c r="A104" s="15" t="s">
        <v>47</v>
      </c>
      <c r="B104" s="54">
        <v>0</v>
      </c>
      <c r="C104" s="54">
        <v>-2</v>
      </c>
      <c r="D104" s="54">
        <v>-2</v>
      </c>
      <c r="E104" s="54">
        <v>-2</v>
      </c>
      <c r="F104" s="54">
        <v>-65</v>
      </c>
      <c r="G104" s="54">
        <v>-30</v>
      </c>
    </row>
    <row r="105" spans="1:12" x14ac:dyDescent="0.3">
      <c r="A105" s="15" t="s">
        <v>48</v>
      </c>
      <c r="B105" s="54">
        <v>0</v>
      </c>
      <c r="C105" s="54">
        <v>0</v>
      </c>
      <c r="D105" s="54">
        <v>0</v>
      </c>
      <c r="E105" s="54">
        <v>56</v>
      </c>
      <c r="F105" s="54">
        <v>0</v>
      </c>
      <c r="G105" s="54">
        <v>0</v>
      </c>
    </row>
    <row r="106" spans="1:12" x14ac:dyDescent="0.3">
      <c r="A106" s="15" t="s">
        <v>49</v>
      </c>
      <c r="B106" s="54">
        <v>-1290</v>
      </c>
      <c r="C106" s="54">
        <v>1051</v>
      </c>
      <c r="D106" s="54">
        <v>-2494</v>
      </c>
      <c r="E106" s="54">
        <v>-733</v>
      </c>
      <c r="F106" s="54">
        <v>1187</v>
      </c>
      <c r="G106" s="54">
        <v>-478</v>
      </c>
    </row>
    <row r="107" spans="1:12" x14ac:dyDescent="0.3">
      <c r="A107" s="15" t="s">
        <v>11</v>
      </c>
      <c r="B107" s="54">
        <v>-8181</v>
      </c>
      <c r="C107" s="54">
        <v>-18634</v>
      </c>
      <c r="D107" s="54">
        <v>-13580</v>
      </c>
      <c r="E107" s="54">
        <v>-13006</v>
      </c>
      <c r="F107" s="54">
        <v>-18551</v>
      </c>
      <c r="G107" s="54">
        <v>-17037</v>
      </c>
    </row>
    <row r="108" spans="1:12" x14ac:dyDescent="0.3">
      <c r="A108" s="15" t="s">
        <v>50</v>
      </c>
      <c r="B108" s="54">
        <v>625</v>
      </c>
      <c r="C108" s="54">
        <v>291</v>
      </c>
      <c r="D108" s="54">
        <v>292</v>
      </c>
      <c r="E108" s="54">
        <v>2477</v>
      </c>
      <c r="F108" s="54">
        <v>1443</v>
      </c>
      <c r="G108" s="54">
        <v>797</v>
      </c>
    </row>
    <row r="109" spans="1:12" x14ac:dyDescent="0.3">
      <c r="A109" s="15" t="s">
        <v>51</v>
      </c>
      <c r="B109" s="54">
        <v>0</v>
      </c>
      <c r="C109" s="54">
        <v>0</v>
      </c>
      <c r="D109" s="54">
        <v>0</v>
      </c>
      <c r="E109" s="54">
        <v>0</v>
      </c>
      <c r="F109" s="54">
        <v>8</v>
      </c>
      <c r="G109" s="54">
        <v>90</v>
      </c>
    </row>
    <row r="110" spans="1:12" x14ac:dyDescent="0.3">
      <c r="A110" s="15" t="s">
        <v>52</v>
      </c>
      <c r="B110" s="54">
        <v>-3</v>
      </c>
      <c r="C110" s="54">
        <v>-2</v>
      </c>
      <c r="D110" s="54">
        <v>-1</v>
      </c>
      <c r="E110" s="54">
        <v>-1</v>
      </c>
      <c r="F110" s="54">
        <v>-2</v>
      </c>
      <c r="G110" s="54">
        <v>-54</v>
      </c>
    </row>
    <row r="111" spans="1:12" x14ac:dyDescent="0.3">
      <c r="A111" s="15" t="s">
        <v>53</v>
      </c>
      <c r="B111" s="54">
        <v>-44</v>
      </c>
      <c r="C111" s="54">
        <v>-41</v>
      </c>
      <c r="D111" s="54">
        <v>-40</v>
      </c>
      <c r="E111" s="54">
        <v>-41</v>
      </c>
      <c r="F111" s="54">
        <v>-46</v>
      </c>
      <c r="G111" s="54">
        <v>-50</v>
      </c>
    </row>
    <row r="112" spans="1:12" x14ac:dyDescent="0.3">
      <c r="A112" s="15" t="s">
        <v>54</v>
      </c>
      <c r="B112" s="54">
        <v>-7302</v>
      </c>
      <c r="C112" s="54">
        <v>-18881</v>
      </c>
      <c r="D112" s="54">
        <v>-13788</v>
      </c>
      <c r="E112" s="54">
        <v>-15418</v>
      </c>
      <c r="F112" s="54">
        <v>-19899</v>
      </c>
      <c r="G112" s="54">
        <v>-17782</v>
      </c>
    </row>
    <row r="113" spans="1:7" x14ac:dyDescent="0.3">
      <c r="A113" s="15" t="s">
        <v>55</v>
      </c>
      <c r="B113" s="54">
        <v>-49</v>
      </c>
      <c r="C113" s="54">
        <v>-55</v>
      </c>
      <c r="D113" s="54">
        <v>-59</v>
      </c>
      <c r="E113" s="54">
        <v>-59</v>
      </c>
      <c r="F113" s="54">
        <v>-67</v>
      </c>
      <c r="G113" s="54">
        <v>-66</v>
      </c>
    </row>
    <row r="114" spans="1:7" x14ac:dyDescent="0.3">
      <c r="A114" s="15" t="s">
        <v>56</v>
      </c>
      <c r="B114" s="54">
        <v>-1409</v>
      </c>
      <c r="C114" s="54">
        <v>55</v>
      </c>
      <c r="D114" s="54">
        <v>15</v>
      </c>
      <c r="E114" s="54">
        <v>35</v>
      </c>
      <c r="F114" s="54">
        <v>12</v>
      </c>
      <c r="G114" s="54">
        <v>28</v>
      </c>
    </row>
    <row r="115" spans="1:7" x14ac:dyDescent="0.3">
      <c r="A115" s="15" t="s">
        <v>12</v>
      </c>
      <c r="B115" s="54">
        <v>334</v>
      </c>
      <c r="C115" s="54">
        <v>-367</v>
      </c>
      <c r="D115" s="54">
        <v>-43</v>
      </c>
      <c r="E115" s="54">
        <v>139</v>
      </c>
      <c r="F115" s="54">
        <v>191</v>
      </c>
      <c r="G115" s="54">
        <v>26</v>
      </c>
    </row>
    <row r="116" spans="1:7" x14ac:dyDescent="0.3">
      <c r="A116" s="15" t="s">
        <v>57</v>
      </c>
      <c r="B116" s="54">
        <v>12276</v>
      </c>
      <c r="C116" s="54">
        <v>10693</v>
      </c>
      <c r="D116" s="54">
        <v>13767</v>
      </c>
      <c r="E116" s="54">
        <v>16184</v>
      </c>
      <c r="F116" s="54">
        <v>13724</v>
      </c>
      <c r="G116" s="54">
        <v>15524</v>
      </c>
    </row>
    <row r="117" spans="1:7" x14ac:dyDescent="0.3">
      <c r="A117" s="15" t="s">
        <v>58</v>
      </c>
      <c r="B117" s="54" t="s">
        <v>59</v>
      </c>
      <c r="C117" s="54" t="s">
        <v>60</v>
      </c>
      <c r="D117" s="54" t="s">
        <v>61</v>
      </c>
      <c r="E117" s="54" t="s">
        <v>62</v>
      </c>
      <c r="F117" s="54" t="s">
        <v>63</v>
      </c>
      <c r="G117" s="54" t="s">
        <v>64</v>
      </c>
    </row>
  </sheetData>
  <mergeCells count="2">
    <mergeCell ref="F6:G6"/>
    <mergeCell ref="A7:G1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F15B-1418-49B6-80E3-CA8B36AE1A02}">
  <dimension ref="A1:R91"/>
  <sheetViews>
    <sheetView topLeftCell="A52" zoomScale="82" zoomScaleNormal="81" workbookViewId="0">
      <selection activeCell="A48" sqref="A47:R48"/>
    </sheetView>
  </sheetViews>
  <sheetFormatPr defaultRowHeight="14.4" x14ac:dyDescent="0.3"/>
  <cols>
    <col min="1" max="1" width="7" style="1" customWidth="1"/>
    <col min="2" max="2" width="22.5546875" style="1" customWidth="1"/>
    <col min="3" max="3" width="8.88671875" style="1" bestFit="1" customWidth="1"/>
    <col min="4" max="8" width="8.88671875" style="1"/>
    <col min="9" max="9" width="8.6640625" style="1" bestFit="1" customWidth="1"/>
    <col min="10" max="14" width="9.88671875" style="1" bestFit="1" customWidth="1"/>
    <col min="15" max="16384" width="8.88671875" style="1"/>
  </cols>
  <sheetData>
    <row r="1" spans="1:13" customFormat="1" x14ac:dyDescent="0.3"/>
    <row r="2" spans="1:13" customFormat="1" ht="14.4" customHeight="1" x14ac:dyDescent="0.4">
      <c r="A2" s="1"/>
      <c r="B2" s="49"/>
      <c r="C2" s="49"/>
      <c r="D2" s="49"/>
      <c r="E2" s="49"/>
      <c r="F2" s="49"/>
      <c r="G2" s="49"/>
      <c r="H2" s="49"/>
      <c r="I2" s="49"/>
    </row>
    <row r="3" spans="1:13" customFormat="1" ht="14.4" customHeight="1" x14ac:dyDescent="0.4">
      <c r="A3" s="49"/>
      <c r="B3" s="49"/>
      <c r="C3" s="49"/>
      <c r="D3" s="49"/>
      <c r="E3" s="49"/>
      <c r="F3" s="49"/>
      <c r="G3" s="49"/>
      <c r="H3" s="49"/>
      <c r="I3" s="49"/>
    </row>
    <row r="4" spans="1:13" customFormat="1" ht="14.4" customHeight="1" x14ac:dyDescent="0.4">
      <c r="A4" s="49"/>
      <c r="B4" s="49"/>
      <c r="C4" s="49"/>
      <c r="D4" s="210"/>
      <c r="E4" s="211" t="s">
        <v>34</v>
      </c>
      <c r="F4" s="211"/>
      <c r="G4" s="211"/>
      <c r="H4" s="211"/>
      <c r="I4" s="211"/>
      <c r="J4" s="212"/>
      <c r="K4" s="212"/>
    </row>
    <row r="5" spans="1:13" customFormat="1" ht="14.4" customHeight="1" x14ac:dyDescent="0.4">
      <c r="A5" s="49"/>
      <c r="B5" s="49"/>
      <c r="C5" s="49"/>
      <c r="D5" s="49"/>
      <c r="E5" s="49"/>
      <c r="F5" s="49"/>
      <c r="G5" s="49"/>
      <c r="H5" s="49"/>
      <c r="I5" s="49"/>
    </row>
    <row r="6" spans="1:13" customFormat="1" ht="15" thickBot="1" x14ac:dyDescent="0.35">
      <c r="M6" s="61" t="s">
        <v>166</v>
      </c>
    </row>
    <row r="7" spans="1:13" customFormat="1" ht="15" thickBot="1" x14ac:dyDescent="0.35">
      <c r="C7" s="50" t="s">
        <v>93</v>
      </c>
      <c r="D7" s="51"/>
      <c r="E7" s="51"/>
      <c r="F7" s="51"/>
      <c r="G7" s="51"/>
      <c r="H7" s="52"/>
      <c r="I7" s="50" t="s">
        <v>92</v>
      </c>
      <c r="J7" s="51"/>
      <c r="K7" s="51"/>
      <c r="L7" s="51"/>
      <c r="M7" s="52"/>
    </row>
    <row r="8" spans="1:13" s="35" customFormat="1" x14ac:dyDescent="0.3">
      <c r="B8" s="13" t="s">
        <v>14</v>
      </c>
      <c r="C8" s="5">
        <v>43921</v>
      </c>
      <c r="D8" s="5">
        <v>44286</v>
      </c>
      <c r="E8" s="5">
        <v>44651</v>
      </c>
      <c r="F8" s="5">
        <v>45016</v>
      </c>
      <c r="G8" s="5">
        <v>45382</v>
      </c>
      <c r="H8" s="5">
        <v>45747</v>
      </c>
      <c r="I8" s="28">
        <v>46107</v>
      </c>
      <c r="J8" s="28">
        <v>46473</v>
      </c>
      <c r="K8" s="28">
        <v>46840</v>
      </c>
      <c r="L8" s="28">
        <v>47206</v>
      </c>
      <c r="M8" s="28">
        <v>47572</v>
      </c>
    </row>
    <row r="9" spans="1:13" customFormat="1" x14ac:dyDescent="0.3">
      <c r="B9" t="s">
        <v>67</v>
      </c>
    </row>
    <row r="10" spans="1:13" customFormat="1" x14ac:dyDescent="0.3"/>
    <row r="11" spans="1:13" customFormat="1" x14ac:dyDescent="0.3">
      <c r="B11" s="11" t="s">
        <v>0</v>
      </c>
      <c r="C11" s="53">
        <v>49387.7</v>
      </c>
      <c r="D11" s="53">
        <v>49257.45</v>
      </c>
      <c r="E11" s="53">
        <v>60644.54</v>
      </c>
      <c r="F11" s="53">
        <v>70919.03</v>
      </c>
      <c r="G11" s="53">
        <v>67931.94</v>
      </c>
      <c r="H11" s="53">
        <v>75323.34</v>
      </c>
      <c r="I11" s="54">
        <f>H11*(1+I12)</f>
        <v>82323.069249759516</v>
      </c>
      <c r="J11" s="54">
        <f t="shared" ref="J11:M11" si="0">I11*(1+J12)</f>
        <v>89973.276951084496</v>
      </c>
      <c r="K11" s="54">
        <f t="shared" si="0"/>
        <v>98334.411472883716</v>
      </c>
      <c r="L11" s="54">
        <f t="shared" si="0"/>
        <v>107472.53859582638</v>
      </c>
      <c r="M11" s="54">
        <f t="shared" si="0"/>
        <v>117459.86353329085</v>
      </c>
    </row>
    <row r="12" spans="1:13" customFormat="1" x14ac:dyDescent="0.3">
      <c r="B12" t="s">
        <v>68</v>
      </c>
      <c r="C12" s="54"/>
      <c r="D12" s="58">
        <f>D11/C11-1</f>
        <v>-2.6372963308678443E-3</v>
      </c>
      <c r="E12" s="58">
        <f>E11/D11-1</f>
        <v>0.23117497962237188</v>
      </c>
      <c r="F12" s="58">
        <f t="shared" ref="F12:H12" si="1">F11/E11-1</f>
        <v>0.1694215175842706</v>
      </c>
      <c r="G12" s="58">
        <f t="shared" si="1"/>
        <v>-4.2119724423754779E-2</v>
      </c>
      <c r="H12" s="58">
        <f t="shared" si="1"/>
        <v>0.10880596078957838</v>
      </c>
      <c r="I12" s="58">
        <f>Assumptions!$D$3</f>
        <v>9.2929087448319653E-2</v>
      </c>
      <c r="J12" s="58">
        <f>Assumptions!$D$3</f>
        <v>9.2929087448319653E-2</v>
      </c>
      <c r="K12" s="58">
        <f>Assumptions!$D$3</f>
        <v>9.2929087448319653E-2</v>
      </c>
      <c r="L12" s="58">
        <f>Assumptions!$D$3</f>
        <v>9.2929087448319653E-2</v>
      </c>
      <c r="M12" s="58">
        <f>Assumptions!$D$3</f>
        <v>9.2929087448319653E-2</v>
      </c>
    </row>
    <row r="13" spans="1:13" customFormat="1" x14ac:dyDescent="0.3"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</row>
    <row r="14" spans="1:13" customFormat="1" x14ac:dyDescent="0.3">
      <c r="B14" s="20" t="s">
        <v>69</v>
      </c>
      <c r="C14" s="53">
        <f>SUM('Data Sheet'!B24:B27)</f>
        <v>21440.87</v>
      </c>
      <c r="D14" s="53">
        <f>SUM('Data Sheet'!C24:C27)</f>
        <v>23708.720000000001</v>
      </c>
      <c r="E14" s="53">
        <f>SUM('Data Sheet'!D24:D27)</f>
        <v>30534.510000000002</v>
      </c>
      <c r="F14" s="53">
        <f>SUM('Data Sheet'!E24:E27)</f>
        <v>33283.090000000004</v>
      </c>
      <c r="G14" s="53">
        <f>SUM('Data Sheet'!F24:F27)</f>
        <v>30853</v>
      </c>
      <c r="H14" s="53">
        <f>SUM('Data Sheet'!G24:G27)</f>
        <v>36750.729999999996</v>
      </c>
      <c r="I14" s="54">
        <f>I11*I15</f>
        <v>38833.830986011308</v>
      </c>
      <c r="J14" s="54">
        <f t="shared" ref="J14:M14" si="2">J11*J15</f>
        <v>42442.623461663621</v>
      </c>
      <c r="K14" s="54">
        <f t="shared" si="2"/>
        <v>46386.777728868663</v>
      </c>
      <c r="L14" s="54">
        <f t="shared" si="2"/>
        <v>50697.458652880472</v>
      </c>
      <c r="M14" s="54">
        <f t="shared" si="2"/>
        <v>55408.727221441572</v>
      </c>
    </row>
    <row r="15" spans="1:13" customFormat="1" ht="15" thickBot="1" x14ac:dyDescent="0.35">
      <c r="B15" s="19" t="s">
        <v>70</v>
      </c>
      <c r="C15" s="58">
        <f>C14/C11</f>
        <v>0.43413380254597805</v>
      </c>
      <c r="D15" s="58">
        <f t="shared" ref="D15:H15" si="3">D14/D11</f>
        <v>0.48132252075574361</v>
      </c>
      <c r="E15" s="58">
        <f t="shared" si="3"/>
        <v>0.50349973798135828</v>
      </c>
      <c r="F15" s="58">
        <f t="shared" si="3"/>
        <v>0.4693111284799017</v>
      </c>
      <c r="G15" s="58">
        <f t="shared" si="3"/>
        <v>0.45417516414222819</v>
      </c>
      <c r="H15" s="58">
        <f t="shared" si="3"/>
        <v>0.48790627181428753</v>
      </c>
      <c r="I15" s="58">
        <f>Assumptions!$D$11</f>
        <v>0.47172477095324955</v>
      </c>
      <c r="J15" s="58">
        <f>Assumptions!$D$11</f>
        <v>0.47172477095324955</v>
      </c>
      <c r="K15" s="58">
        <f>Assumptions!$D$11</f>
        <v>0.47172477095324955</v>
      </c>
      <c r="L15" s="58">
        <f>Assumptions!$D$11</f>
        <v>0.47172477095324955</v>
      </c>
      <c r="M15" s="58">
        <f>Assumptions!$D$11</f>
        <v>0.47172477095324955</v>
      </c>
    </row>
    <row r="16" spans="1:13" customFormat="1" x14ac:dyDescent="0.3"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</row>
    <row r="17" spans="2:16" customFormat="1" x14ac:dyDescent="0.3">
      <c r="B17" s="20" t="s">
        <v>72</v>
      </c>
      <c r="C17" s="54">
        <f>C11-C14</f>
        <v>27946.829999999998</v>
      </c>
      <c r="D17" s="54">
        <f t="shared" ref="D17:M17" si="4">D11-D14</f>
        <v>25548.729999999996</v>
      </c>
      <c r="E17" s="54">
        <f t="shared" si="4"/>
        <v>30110.03</v>
      </c>
      <c r="F17" s="54">
        <f t="shared" si="4"/>
        <v>37635.939999999995</v>
      </c>
      <c r="G17" s="54">
        <f t="shared" si="4"/>
        <v>37078.94</v>
      </c>
      <c r="H17" s="54">
        <f t="shared" si="4"/>
        <v>38572.61</v>
      </c>
      <c r="I17" s="54">
        <f t="shared" si="4"/>
        <v>43489.238263748208</v>
      </c>
      <c r="J17" s="54">
        <f t="shared" si="4"/>
        <v>47530.653489420874</v>
      </c>
      <c r="K17" s="54">
        <f t="shared" si="4"/>
        <v>51947.633744015053</v>
      </c>
      <c r="L17" s="54">
        <f t="shared" si="4"/>
        <v>56775.079942945908</v>
      </c>
      <c r="M17" s="54">
        <f t="shared" si="4"/>
        <v>62051.136311849274</v>
      </c>
    </row>
    <row r="18" spans="2:16" customFormat="1" x14ac:dyDescent="0.3">
      <c r="B18" t="s">
        <v>73</v>
      </c>
      <c r="C18" s="58">
        <f>C17/C11</f>
        <v>0.565866197454022</v>
      </c>
      <c r="D18" s="58">
        <f t="shared" ref="D18:H18" si="5">D17/D11</f>
        <v>0.51867747924425645</v>
      </c>
      <c r="E18" s="58">
        <f t="shared" si="5"/>
        <v>0.49650026201864172</v>
      </c>
      <c r="F18" s="58">
        <f t="shared" si="5"/>
        <v>0.53068887152009825</v>
      </c>
      <c r="G18" s="58">
        <f t="shared" si="5"/>
        <v>0.54582483585777175</v>
      </c>
      <c r="H18" s="58">
        <f t="shared" si="5"/>
        <v>0.51209372818571242</v>
      </c>
      <c r="I18" s="58">
        <f>1-I15</f>
        <v>0.52827522904675051</v>
      </c>
      <c r="J18" s="58">
        <f t="shared" ref="J18:M18" si="6">1-J15</f>
        <v>0.52827522904675051</v>
      </c>
      <c r="K18" s="58">
        <f t="shared" si="6"/>
        <v>0.52827522904675051</v>
      </c>
      <c r="L18" s="58">
        <f t="shared" si="6"/>
        <v>0.52827522904675051</v>
      </c>
      <c r="M18" s="58">
        <f t="shared" si="6"/>
        <v>0.52827522904675051</v>
      </c>
      <c r="N18" s="25"/>
    </row>
    <row r="19" spans="2:16" customFormat="1" x14ac:dyDescent="0.3"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</row>
    <row r="20" spans="2:16" customFormat="1" x14ac:dyDescent="0.3">
      <c r="B20" s="20" t="s">
        <v>74</v>
      </c>
      <c r="C20" s="54">
        <f>SUM('Data Sheet'!B28:B30)</f>
        <v>10009.549999999999</v>
      </c>
      <c r="D20" s="54">
        <f>SUM('Data Sheet'!C28:C30)</f>
        <v>9774.49</v>
      </c>
      <c r="E20" s="54">
        <f>SUM('Data Sheet'!D28:D30)</f>
        <v>10858.880000000001</v>
      </c>
      <c r="F20" s="54">
        <f>SUM('Data Sheet'!E28:E30)</f>
        <v>12648.859999999999</v>
      </c>
      <c r="G20" s="54">
        <f>SUM('Data Sheet'!F28:F30)</f>
        <v>12626.949999999999</v>
      </c>
      <c r="H20" s="54">
        <f>SUM('Data Sheet'!G28:G30)</f>
        <v>14184.46</v>
      </c>
      <c r="I20" s="54">
        <f>I11*I21</f>
        <v>15541.424643819857</v>
      </c>
      <c r="J20" s="54">
        <f t="shared" ref="J20:M20" si="7">J11*J21</f>
        <v>16985.675053616862</v>
      </c>
      <c r="K20" s="54">
        <f t="shared" si="7"/>
        <v>18564.138336043168</v>
      </c>
      <c r="L20" s="54">
        <f t="shared" si="7"/>
        <v>20289.286770876028</v>
      </c>
      <c r="M20" s="54">
        <f t="shared" si="7"/>
        <v>22174.751675470801</v>
      </c>
    </row>
    <row r="21" spans="2:16" customFormat="1" ht="15" thickBot="1" x14ac:dyDescent="0.35">
      <c r="B21" s="19" t="s">
        <v>75</v>
      </c>
      <c r="C21" s="58">
        <f>C20/C11</f>
        <v>0.20267293273426379</v>
      </c>
      <c r="D21" s="58">
        <f t="shared" ref="D21:H21" si="8">D20/D11</f>
        <v>0.19843678468942264</v>
      </c>
      <c r="E21" s="58">
        <f t="shared" si="8"/>
        <v>0.17905783439036724</v>
      </c>
      <c r="F21" s="58">
        <f t="shared" si="8"/>
        <v>0.17835635935798894</v>
      </c>
      <c r="G21" s="58">
        <f t="shared" si="8"/>
        <v>0.18587648166679765</v>
      </c>
      <c r="H21" s="58">
        <f t="shared" si="8"/>
        <v>0.18831427284026439</v>
      </c>
      <c r="I21" s="58">
        <f>Assumptions!$D$18</f>
        <v>0.18878577761318413</v>
      </c>
      <c r="J21" s="58">
        <f>Assumptions!$D$18</f>
        <v>0.18878577761318413</v>
      </c>
      <c r="K21" s="58">
        <f>Assumptions!$D$18</f>
        <v>0.18878577761318413</v>
      </c>
      <c r="L21" s="58">
        <f>Assumptions!$D$18</f>
        <v>0.18878577761318413</v>
      </c>
      <c r="M21" s="58">
        <f>Assumptions!$D$18</f>
        <v>0.18878577761318413</v>
      </c>
    </row>
    <row r="22" spans="2:16" customFormat="1" x14ac:dyDescent="0.3"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</row>
    <row r="23" spans="2:16" customFormat="1" x14ac:dyDescent="0.3">
      <c r="B23" s="20" t="s">
        <v>76</v>
      </c>
      <c r="C23" s="54">
        <f>C17-C20</f>
        <v>17937.28</v>
      </c>
      <c r="D23" s="54">
        <f t="shared" ref="D23:H23" si="9">D17-D20</f>
        <v>15774.239999999996</v>
      </c>
      <c r="E23" s="54">
        <f t="shared" si="9"/>
        <v>19251.149999999998</v>
      </c>
      <c r="F23" s="54">
        <f t="shared" si="9"/>
        <v>24987.079999999994</v>
      </c>
      <c r="G23" s="54">
        <f t="shared" si="9"/>
        <v>24451.990000000005</v>
      </c>
      <c r="H23" s="54">
        <f t="shared" si="9"/>
        <v>24388.15</v>
      </c>
      <c r="I23" s="54">
        <f>I17-I20</f>
        <v>27947.813619928351</v>
      </c>
      <c r="J23" s="54">
        <f t="shared" ref="J23:M23" si="10">J17-J20</f>
        <v>30544.978435804012</v>
      </c>
      <c r="K23" s="54">
        <f t="shared" si="10"/>
        <v>33383.495407971888</v>
      </c>
      <c r="L23" s="54">
        <f t="shared" si="10"/>
        <v>36485.793172069883</v>
      </c>
      <c r="M23" s="54">
        <f t="shared" si="10"/>
        <v>39876.384636378469</v>
      </c>
    </row>
    <row r="24" spans="2:16" customFormat="1" x14ac:dyDescent="0.3">
      <c r="B24" s="1" t="s">
        <v>77</v>
      </c>
      <c r="C24" s="58">
        <f>C23/C11</f>
        <v>0.36319326471975816</v>
      </c>
      <c r="D24" s="58">
        <f t="shared" ref="D24:H24" si="11">D23/D11</f>
        <v>0.32024069455483378</v>
      </c>
      <c r="E24" s="58">
        <f t="shared" si="11"/>
        <v>0.31744242762827451</v>
      </c>
      <c r="F24" s="58">
        <f t="shared" si="11"/>
        <v>0.35233251216210931</v>
      </c>
      <c r="G24" s="58">
        <f t="shared" si="11"/>
        <v>0.35994835419097415</v>
      </c>
      <c r="H24" s="58">
        <f t="shared" si="11"/>
        <v>0.32377945534544805</v>
      </c>
      <c r="I24" s="58">
        <f>I23/I11</f>
        <v>0.33948945143356635</v>
      </c>
      <c r="J24" s="58">
        <f t="shared" ref="J24:M24" si="12">J23/J11</f>
        <v>0.33948945143356635</v>
      </c>
      <c r="K24" s="58">
        <f t="shared" si="12"/>
        <v>0.33948945143356635</v>
      </c>
      <c r="L24" s="58">
        <f t="shared" si="12"/>
        <v>0.33948945143356635</v>
      </c>
      <c r="M24" s="58">
        <f t="shared" si="12"/>
        <v>0.33948945143356629</v>
      </c>
    </row>
    <row r="25" spans="2:16" customFormat="1" x14ac:dyDescent="0.3">
      <c r="B25" s="1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</row>
    <row r="26" spans="2:16" customFormat="1" x14ac:dyDescent="0.3">
      <c r="B26" s="20" t="s">
        <v>2</v>
      </c>
      <c r="C26" s="59">
        <f>'Data Sheet'!B32</f>
        <v>1644.91</v>
      </c>
      <c r="D26" s="59">
        <f>'Data Sheet'!C32</f>
        <v>1645.59</v>
      </c>
      <c r="E26" s="59">
        <f>'Data Sheet'!D32</f>
        <v>1732.41</v>
      </c>
      <c r="F26" s="59">
        <f>'Data Sheet'!E32</f>
        <v>1809.01</v>
      </c>
      <c r="G26" s="59">
        <f>'Data Sheet'!F32</f>
        <v>1518.05</v>
      </c>
      <c r="H26" s="59">
        <f>'Data Sheet'!G32</f>
        <v>1646.32</v>
      </c>
      <c r="I26" s="59">
        <f>I11*I27</f>
        <v>2263.7756699763499</v>
      </c>
      <c r="J26" s="59">
        <f t="shared" ref="J26:M26" si="13">J11*J27</f>
        <v>2474.1462771749607</v>
      </c>
      <c r="K26" s="59">
        <f t="shared" si="13"/>
        <v>2704.0664329264873</v>
      </c>
      <c r="L26" s="59">
        <f t="shared" si="13"/>
        <v>2955.3528589379789</v>
      </c>
      <c r="M26" s="59">
        <f t="shared" si="13"/>
        <v>3229.991103206868</v>
      </c>
    </row>
    <row r="27" spans="2:16" customFormat="1" ht="15" thickBot="1" x14ac:dyDescent="0.35">
      <c r="B27" s="60" t="s">
        <v>79</v>
      </c>
      <c r="C27" s="46">
        <f>C26/C11</f>
        <v>3.3306066085280348E-2</v>
      </c>
      <c r="D27" s="46">
        <f t="shared" ref="D27:H27" si="14">D26/D11</f>
        <v>3.3407941336792708E-2</v>
      </c>
      <c r="E27" s="46">
        <f t="shared" si="14"/>
        <v>2.8566627762367396E-2</v>
      </c>
      <c r="F27" s="46">
        <f t="shared" si="14"/>
        <v>2.550810410125463E-2</v>
      </c>
      <c r="G27" s="46">
        <f t="shared" si="14"/>
        <v>2.2346631054552542E-2</v>
      </c>
      <c r="H27" s="46">
        <f t="shared" si="14"/>
        <v>2.1856704707996222E-2</v>
      </c>
      <c r="I27" s="58">
        <f>Assumptions!$D$22</f>
        <v>2.7498679174707313E-2</v>
      </c>
      <c r="J27" s="58">
        <f>Assumptions!$D$22</f>
        <v>2.7498679174707313E-2</v>
      </c>
      <c r="K27" s="58">
        <f>Assumptions!$D$22</f>
        <v>2.7498679174707313E-2</v>
      </c>
      <c r="L27" s="58">
        <f>Assumptions!$D$22</f>
        <v>2.7498679174707313E-2</v>
      </c>
      <c r="M27" s="58">
        <f>Assumptions!$D$22</f>
        <v>2.7498679174707313E-2</v>
      </c>
    </row>
    <row r="28" spans="2:16" customFormat="1" x14ac:dyDescent="0.3"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</row>
    <row r="29" spans="2:16" customFormat="1" x14ac:dyDescent="0.3">
      <c r="B29" s="20" t="s">
        <v>112</v>
      </c>
      <c r="C29" s="54">
        <f>C23-C26</f>
        <v>16292.369999999999</v>
      </c>
      <c r="D29" s="54">
        <f t="shared" ref="D29:M29" si="15">D23-D26</f>
        <v>14128.649999999996</v>
      </c>
      <c r="E29" s="54">
        <f t="shared" si="15"/>
        <v>17518.739999999998</v>
      </c>
      <c r="F29" s="54">
        <f t="shared" si="15"/>
        <v>23178.069999999996</v>
      </c>
      <c r="G29" s="54">
        <f t="shared" si="15"/>
        <v>22933.940000000006</v>
      </c>
      <c r="H29" s="54">
        <f t="shared" si="15"/>
        <v>22741.83</v>
      </c>
      <c r="I29" s="54">
        <f t="shared" si="15"/>
        <v>25684.037949952002</v>
      </c>
      <c r="J29" s="54">
        <f t="shared" si="15"/>
        <v>28070.832158629051</v>
      </c>
      <c r="K29" s="54">
        <f t="shared" si="15"/>
        <v>30679.428975045401</v>
      </c>
      <c r="L29" s="54">
        <f t="shared" si="15"/>
        <v>33530.440313131905</v>
      </c>
      <c r="M29" s="54">
        <f t="shared" si="15"/>
        <v>36646.393533171598</v>
      </c>
    </row>
    <row r="30" spans="2:16" customFormat="1" x14ac:dyDescent="0.3">
      <c r="B30" t="s">
        <v>113</v>
      </c>
      <c r="C30" s="58">
        <f>C29/C11</f>
        <v>0.3298871986344778</v>
      </c>
      <c r="D30" s="58">
        <f t="shared" ref="D30:M30" si="16">D29/D11</f>
        <v>0.28683275321804108</v>
      </c>
      <c r="E30" s="58">
        <f t="shared" si="16"/>
        <v>0.28887579986590711</v>
      </c>
      <c r="F30" s="58">
        <f t="shared" si="16"/>
        <v>0.32682440806085472</v>
      </c>
      <c r="G30" s="58">
        <f t="shared" si="16"/>
        <v>0.33760172313642162</v>
      </c>
      <c r="H30" s="58">
        <f t="shared" si="16"/>
        <v>0.30192275063745183</v>
      </c>
      <c r="I30" s="58">
        <f t="shared" si="16"/>
        <v>0.31199077225885902</v>
      </c>
      <c r="J30" s="58">
        <f t="shared" si="16"/>
        <v>0.31199077225885902</v>
      </c>
      <c r="K30" s="58">
        <f t="shared" si="16"/>
        <v>0.31199077225885907</v>
      </c>
      <c r="L30" s="58">
        <f t="shared" si="16"/>
        <v>0.31199077225885902</v>
      </c>
      <c r="M30" s="58">
        <f t="shared" si="16"/>
        <v>0.31199077225885896</v>
      </c>
    </row>
    <row r="31" spans="2:16" customFormat="1" x14ac:dyDescent="0.3"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</row>
    <row r="32" spans="2:16" customFormat="1" x14ac:dyDescent="0.3">
      <c r="B32" s="20" t="s">
        <v>3</v>
      </c>
      <c r="C32" s="55">
        <f>'Data Sheet'!B33</f>
        <v>81.38</v>
      </c>
      <c r="D32" s="55">
        <f>'Data Sheet'!C33</f>
        <v>57.97</v>
      </c>
      <c r="E32" s="55">
        <f>'Data Sheet'!D33</f>
        <v>59.99</v>
      </c>
      <c r="F32" s="55">
        <f>'Data Sheet'!E33</f>
        <v>77.77</v>
      </c>
      <c r="G32" s="55">
        <f>'Data Sheet'!F33</f>
        <v>39.11</v>
      </c>
      <c r="H32" s="55">
        <f>'Data Sheet'!G33</f>
        <v>45.06</v>
      </c>
      <c r="I32" s="54">
        <f>H32+(1*I33)</f>
        <v>45.061014068399338</v>
      </c>
      <c r="J32" s="54">
        <f t="shared" ref="J32:M32" si="17">I32*(1+J33)</f>
        <v>45.10670901880804</v>
      </c>
      <c r="K32" s="54">
        <f t="shared" si="17"/>
        <v>45.152450307021958</v>
      </c>
      <c r="L32" s="54">
        <f t="shared" si="17"/>
        <v>45.198237980030797</v>
      </c>
      <c r="M32" s="54">
        <f t="shared" si="17"/>
        <v>45.244072084871917</v>
      </c>
      <c r="P32" s="45"/>
    </row>
    <row r="33" spans="1:18" customFormat="1" ht="15" thickBot="1" x14ac:dyDescent="0.35">
      <c r="B33" s="19" t="s">
        <v>78</v>
      </c>
      <c r="C33" s="58">
        <f t="shared" ref="C33:H33" si="18">C32/C11</f>
        <v>1.647778697934911E-3</v>
      </c>
      <c r="D33" s="58">
        <f t="shared" si="18"/>
        <v>1.1768778123918311E-3</v>
      </c>
      <c r="E33" s="58">
        <f t="shared" si="18"/>
        <v>9.8920694262006107E-4</v>
      </c>
      <c r="F33" s="58">
        <f t="shared" si="18"/>
        <v>1.0966027031108574E-3</v>
      </c>
      <c r="G33" s="58">
        <f t="shared" si="18"/>
        <v>5.7572329010477244E-4</v>
      </c>
      <c r="H33" s="58">
        <f t="shared" si="18"/>
        <v>5.9822094984104534E-4</v>
      </c>
      <c r="I33" s="58">
        <f>Assumptions!$D$25</f>
        <v>1.0140683993339129E-3</v>
      </c>
      <c r="J33" s="58">
        <f>Assumptions!$D$25</f>
        <v>1.0140683993339129E-3</v>
      </c>
      <c r="K33" s="58">
        <f>Assumptions!$D$25</f>
        <v>1.0140683993339129E-3</v>
      </c>
      <c r="L33" s="58">
        <f>Assumptions!$D$25</f>
        <v>1.0140683993339129E-3</v>
      </c>
      <c r="M33" s="58">
        <f>Assumptions!$D$25</f>
        <v>1.0140683993339129E-3</v>
      </c>
    </row>
    <row r="34" spans="1:18" customFormat="1" x14ac:dyDescent="0.3"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</row>
    <row r="35" spans="1:18" customFormat="1" x14ac:dyDescent="0.3">
      <c r="B35" s="20" t="s">
        <v>80</v>
      </c>
      <c r="C35" s="54">
        <f>C29-C32</f>
        <v>16210.99</v>
      </c>
      <c r="D35" s="54">
        <f t="shared" ref="D35:M35" si="19">D29-D32</f>
        <v>14070.679999999997</v>
      </c>
      <c r="E35" s="54">
        <f t="shared" si="19"/>
        <v>17458.749999999996</v>
      </c>
      <c r="F35" s="54">
        <f t="shared" si="19"/>
        <v>23100.299999999996</v>
      </c>
      <c r="G35" s="54">
        <f t="shared" si="19"/>
        <v>22894.830000000005</v>
      </c>
      <c r="H35" s="54">
        <f t="shared" si="19"/>
        <v>22696.77</v>
      </c>
      <c r="I35" s="54">
        <f t="shared" si="19"/>
        <v>25638.976935883602</v>
      </c>
      <c r="J35" s="54">
        <f t="shared" si="19"/>
        <v>28025.725449610243</v>
      </c>
      <c r="K35" s="54">
        <f t="shared" si="19"/>
        <v>30634.27652473838</v>
      </c>
      <c r="L35" s="54">
        <f t="shared" si="19"/>
        <v>33485.242075151873</v>
      </c>
      <c r="M35" s="54">
        <f t="shared" si="19"/>
        <v>36601.149461086723</v>
      </c>
    </row>
    <row r="36" spans="1:18" customFormat="1" ht="15" thickBot="1" x14ac:dyDescent="0.35">
      <c r="B36" s="19" t="s">
        <v>81</v>
      </c>
      <c r="C36" s="58">
        <f t="shared" ref="C36:M36" si="20">C35/C11</f>
        <v>0.32823941993654293</v>
      </c>
      <c r="D36" s="58">
        <f t="shared" si="20"/>
        <v>0.28565587540564924</v>
      </c>
      <c r="E36" s="58">
        <f t="shared" si="20"/>
        <v>0.287886592923287</v>
      </c>
      <c r="F36" s="58">
        <f t="shared" si="20"/>
        <v>0.32572780535774382</v>
      </c>
      <c r="G36" s="58">
        <f t="shared" si="20"/>
        <v>0.33702599984631681</v>
      </c>
      <c r="H36" s="58">
        <f t="shared" si="20"/>
        <v>0.30132452968761081</v>
      </c>
      <c r="I36" s="58">
        <f t="shared" si="20"/>
        <v>0.31144340425522338</v>
      </c>
      <c r="J36" s="58">
        <f t="shared" si="20"/>
        <v>0.31148943774546423</v>
      </c>
      <c r="K36" s="58">
        <f t="shared" si="20"/>
        <v>0.31153159983253631</v>
      </c>
      <c r="L36" s="58">
        <f t="shared" si="20"/>
        <v>0.31157021610032248</v>
      </c>
      <c r="M36" s="58">
        <f t="shared" si="20"/>
        <v>0.31160558475119554</v>
      </c>
    </row>
    <row r="37" spans="1:18" customFormat="1" x14ac:dyDescent="0.3"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spans="1:18" customFormat="1" x14ac:dyDescent="0.3">
      <c r="B38" s="20" t="s">
        <v>5</v>
      </c>
      <c r="C38" s="56">
        <f>'Data Sheet'!B35</f>
        <v>4441.79</v>
      </c>
      <c r="D38" s="56">
        <f>'Data Sheet'!C35</f>
        <v>4555.29</v>
      </c>
      <c r="E38" s="56">
        <f>'Data Sheet'!D35</f>
        <v>5237.34</v>
      </c>
      <c r="F38" s="56">
        <f>'Data Sheet'!E35</f>
        <v>6438.4</v>
      </c>
      <c r="G38" s="56">
        <f>'Data Sheet'!F35</f>
        <v>6209.46</v>
      </c>
      <c r="H38" s="56">
        <f>'Data Sheet'!G35</f>
        <v>6890.47</v>
      </c>
      <c r="I38" s="54">
        <f>H38*(1+I39)</f>
        <v>8901.6208736631488</v>
      </c>
      <c r="J38" s="54">
        <f t="shared" ref="J38:M38" si="21">I38*(1+J39)</f>
        <v>11499.774932397278</v>
      </c>
      <c r="K38" s="54">
        <f t="shared" si="21"/>
        <v>14856.263299986189</v>
      </c>
      <c r="L38" s="54">
        <f t="shared" si="21"/>
        <v>19192.424246211482</v>
      </c>
      <c r="M38" s="54">
        <f t="shared" si="21"/>
        <v>24794.198985885556</v>
      </c>
    </row>
    <row r="39" spans="1:18" customFormat="1" x14ac:dyDescent="0.3">
      <c r="B39" s="1" t="s">
        <v>82</v>
      </c>
      <c r="C39" s="58">
        <f>C38/C35</f>
        <v>0.27399868854400627</v>
      </c>
      <c r="D39" s="58">
        <f t="shared" ref="D39:H39" si="22">D38/D35</f>
        <v>0.32374341538575258</v>
      </c>
      <c r="E39" s="58">
        <f t="shared" si="22"/>
        <v>0.29998367580726004</v>
      </c>
      <c r="F39" s="58">
        <f t="shared" si="22"/>
        <v>0.27871499504335445</v>
      </c>
      <c r="G39" s="58">
        <f t="shared" si="22"/>
        <v>0.27121668953209083</v>
      </c>
      <c r="H39" s="58">
        <f t="shared" si="22"/>
        <v>0.30358813170332166</v>
      </c>
      <c r="I39" s="58">
        <f>Assumptions!$D$28</f>
        <v>0.291874266002631</v>
      </c>
      <c r="J39" s="58">
        <f>Assumptions!$D$28</f>
        <v>0.291874266002631</v>
      </c>
      <c r="K39" s="58">
        <f>Assumptions!$D$28</f>
        <v>0.291874266002631</v>
      </c>
      <c r="L39" s="58">
        <f>Assumptions!$D$28</f>
        <v>0.291874266002631</v>
      </c>
      <c r="M39" s="58">
        <f>Assumptions!$D$28</f>
        <v>0.291874266002631</v>
      </c>
    </row>
    <row r="40" spans="1:18" customFormat="1" x14ac:dyDescent="0.3"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spans="1:18" customFormat="1" x14ac:dyDescent="0.3">
      <c r="B41" s="29" t="s">
        <v>83</v>
      </c>
      <c r="C41" s="57">
        <f>C35-C38</f>
        <v>11769.2</v>
      </c>
      <c r="D41" s="57">
        <f t="shared" ref="D41:H41" si="23">D35-D38</f>
        <v>9515.3899999999958</v>
      </c>
      <c r="E41" s="57">
        <f t="shared" si="23"/>
        <v>12221.409999999996</v>
      </c>
      <c r="F41" s="57">
        <f t="shared" si="23"/>
        <v>16661.899999999994</v>
      </c>
      <c r="G41" s="57">
        <f t="shared" si="23"/>
        <v>16685.370000000006</v>
      </c>
      <c r="H41" s="57">
        <f t="shared" si="23"/>
        <v>15806.3</v>
      </c>
      <c r="I41" s="57">
        <f>I35-I38</f>
        <v>16737.356062220453</v>
      </c>
      <c r="J41" s="57">
        <f t="shared" ref="J41:M41" si="24">J35-J38</f>
        <v>16525.950517212965</v>
      </c>
      <c r="K41" s="57">
        <f t="shared" si="24"/>
        <v>15778.013224752191</v>
      </c>
      <c r="L41" s="57">
        <f t="shared" si="24"/>
        <v>14292.817828940391</v>
      </c>
      <c r="M41" s="57">
        <f t="shared" si="24"/>
        <v>11806.950475201167</v>
      </c>
    </row>
    <row r="42" spans="1:18" customFormat="1" ht="15" thickBot="1" x14ac:dyDescent="0.35">
      <c r="B42" s="30" t="s">
        <v>84</v>
      </c>
      <c r="C42" s="185">
        <f t="shared" ref="C42:M42" si="25">C41/C11</f>
        <v>0.23830224934548483</v>
      </c>
      <c r="D42" s="185">
        <f t="shared" si="25"/>
        <v>0.19317666667681735</v>
      </c>
      <c r="E42" s="185">
        <f t="shared" si="25"/>
        <v>0.20152531456253103</v>
      </c>
      <c r="F42" s="185">
        <f t="shared" si="25"/>
        <v>0.23494258170197752</v>
      </c>
      <c r="G42" s="185">
        <f t="shared" si="25"/>
        <v>0.24561892388175585</v>
      </c>
      <c r="H42" s="185">
        <f t="shared" si="25"/>
        <v>0.20984597868336693</v>
      </c>
      <c r="I42" s="185">
        <f t="shared" si="25"/>
        <v>0.20331307147260361</v>
      </c>
      <c r="J42" s="185">
        <f t="shared" si="25"/>
        <v>0.18367621006176732</v>
      </c>
      <c r="K42" s="185">
        <f t="shared" si="25"/>
        <v>0.16045261255367424</v>
      </c>
      <c r="L42" s="185">
        <f t="shared" si="25"/>
        <v>0.13299041797729938</v>
      </c>
      <c r="M42" s="185">
        <f t="shared" si="25"/>
        <v>0.10051902088116085</v>
      </c>
    </row>
    <row r="43" spans="1:18" customFormat="1" ht="15" thickTop="1" x14ac:dyDescent="0.3"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8" customFormat="1" x14ac:dyDescent="0.3">
      <c r="A44" s="1"/>
      <c r="B44" s="114" t="s">
        <v>97</v>
      </c>
      <c r="C44" s="47">
        <f>'Data Sheet'!$B$14</f>
        <v>1253</v>
      </c>
      <c r="D44" s="47">
        <f>'Data Sheet'!$B$14</f>
        <v>1253</v>
      </c>
      <c r="E44" s="47">
        <f>'Data Sheet'!$B$14</f>
        <v>1253</v>
      </c>
      <c r="F44" s="47">
        <f>'Data Sheet'!$B$14</f>
        <v>1253</v>
      </c>
      <c r="G44" s="47">
        <f>'Data Sheet'!$B$14</f>
        <v>1253</v>
      </c>
      <c r="H44" s="47">
        <f>'Data Sheet'!$B$14</f>
        <v>1253</v>
      </c>
      <c r="I44" s="47">
        <f>'Data Sheet'!$B$14</f>
        <v>1253</v>
      </c>
      <c r="J44" s="47">
        <f>'Data Sheet'!$B$14</f>
        <v>1253</v>
      </c>
      <c r="K44" s="47">
        <f>'Data Sheet'!$B$14</f>
        <v>1253</v>
      </c>
      <c r="L44" s="47">
        <f>'Data Sheet'!$B$14</f>
        <v>1253</v>
      </c>
      <c r="M44" s="47">
        <f>'Data Sheet'!$B$14</f>
        <v>1253</v>
      </c>
    </row>
    <row r="45" spans="1:18" customFormat="1" x14ac:dyDescent="0.3"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</row>
    <row r="46" spans="1:18" customFormat="1" x14ac:dyDescent="0.3">
      <c r="B46" s="15" t="s">
        <v>19</v>
      </c>
      <c r="C46" s="48">
        <f>C41/C44</f>
        <v>9.3928172386272948</v>
      </c>
      <c r="D46" s="48">
        <f t="shared" ref="D46:M46" si="26">D41/D44</f>
        <v>7.5940861931364694</v>
      </c>
      <c r="E46" s="48">
        <f t="shared" si="26"/>
        <v>9.7537190742218645</v>
      </c>
      <c r="F46" s="48">
        <f t="shared" si="26"/>
        <v>13.297605746209094</v>
      </c>
      <c r="G46" s="48">
        <f t="shared" si="26"/>
        <v>13.316336791699925</v>
      </c>
      <c r="H46" s="48">
        <f t="shared" si="26"/>
        <v>12.614764565043894</v>
      </c>
      <c r="I46" s="48">
        <f t="shared" si="26"/>
        <v>13.357826067215047</v>
      </c>
      <c r="J46" s="48">
        <f t="shared" si="26"/>
        <v>13.189106558031098</v>
      </c>
      <c r="K46" s="48">
        <f t="shared" si="26"/>
        <v>12.592189325420742</v>
      </c>
      <c r="L46" s="48">
        <f t="shared" si="26"/>
        <v>11.406877756536625</v>
      </c>
      <c r="M46" s="48">
        <f t="shared" si="26"/>
        <v>9.4229453114135406</v>
      </c>
    </row>
    <row r="47" spans="1:18" customForma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customFormat="1" x14ac:dyDescent="0.3">
      <c r="A48" s="1"/>
      <c r="B48" s="21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3" customFormat="1" x14ac:dyDescent="0.3"/>
    <row r="50" spans="1:13" customFormat="1" x14ac:dyDescent="0.3"/>
    <row r="51" spans="1:13" customFormat="1" x14ac:dyDescent="0.3">
      <c r="B51" s="20" t="s">
        <v>15</v>
      </c>
      <c r="M51" s="61" t="s">
        <v>166</v>
      </c>
    </row>
    <row r="52" spans="1:13" customFormat="1" x14ac:dyDescent="0.3">
      <c r="B52" s="13" t="s">
        <v>14</v>
      </c>
      <c r="C52" s="5">
        <v>43921</v>
      </c>
      <c r="D52" s="5">
        <v>44286</v>
      </c>
      <c r="E52" s="5">
        <v>44651</v>
      </c>
      <c r="F52" s="5">
        <v>45016</v>
      </c>
      <c r="G52" s="5">
        <v>45382</v>
      </c>
      <c r="H52" s="5">
        <v>45747</v>
      </c>
      <c r="I52" s="28">
        <v>46107</v>
      </c>
      <c r="J52" s="28">
        <v>46473</v>
      </c>
      <c r="K52" s="28">
        <v>46840</v>
      </c>
      <c r="L52" s="28">
        <v>47206</v>
      </c>
      <c r="M52" s="28">
        <v>47572</v>
      </c>
    </row>
    <row r="53" spans="1:13" customFormat="1" x14ac:dyDescent="0.3">
      <c r="B53" s="68"/>
      <c r="C53" s="43"/>
      <c r="D53" s="43"/>
      <c r="E53" s="43"/>
      <c r="F53" s="43"/>
      <c r="G53" s="43"/>
      <c r="H53" s="43"/>
    </row>
    <row r="54" spans="1:13" s="36" customFormat="1" x14ac:dyDescent="0.3">
      <c r="A54"/>
      <c r="B54" t="s">
        <v>186</v>
      </c>
      <c r="C54" s="150">
        <v>1229</v>
      </c>
      <c r="D54" s="150">
        <v>1231</v>
      </c>
      <c r="E54" s="150">
        <v>1232</v>
      </c>
      <c r="F54" s="150">
        <v>1243</v>
      </c>
      <c r="G54" s="150">
        <v>1248</v>
      </c>
      <c r="H54" s="150">
        <v>1251</v>
      </c>
      <c r="I54" s="150"/>
    </row>
    <row r="55" spans="1:13" x14ac:dyDescent="0.3">
      <c r="B55" t="s">
        <v>7</v>
      </c>
      <c r="C55" s="150">
        <v>64044</v>
      </c>
      <c r="D55" s="150">
        <v>59116</v>
      </c>
      <c r="E55" s="150">
        <v>61223</v>
      </c>
      <c r="F55" s="150">
        <v>67912</v>
      </c>
      <c r="G55" s="150">
        <v>73259</v>
      </c>
      <c r="H55" s="150">
        <v>68779</v>
      </c>
      <c r="I55" s="150"/>
    </row>
    <row r="56" spans="1:13" x14ac:dyDescent="0.3">
      <c r="A56" s="1" t="s">
        <v>154</v>
      </c>
      <c r="B56" s="151" t="s">
        <v>21</v>
      </c>
      <c r="C56" s="152">
        <v>277</v>
      </c>
      <c r="D56" s="152">
        <v>271</v>
      </c>
      <c r="E56" s="152">
        <v>249</v>
      </c>
      <c r="F56" s="152">
        <v>306</v>
      </c>
      <c r="G56" s="152">
        <v>303</v>
      </c>
      <c r="H56" s="152">
        <v>285</v>
      </c>
      <c r="I56" s="152"/>
    </row>
    <row r="57" spans="1:13" x14ac:dyDescent="0.3">
      <c r="B57" t="s">
        <v>127</v>
      </c>
      <c r="C57" s="150">
        <v>6</v>
      </c>
      <c r="D57" s="150">
        <v>6</v>
      </c>
      <c r="E57" s="150">
        <v>5</v>
      </c>
      <c r="F57" s="150">
        <v>3</v>
      </c>
      <c r="G57" s="150">
        <v>2</v>
      </c>
      <c r="H57" s="150">
        <v>0</v>
      </c>
      <c r="I57" s="150"/>
    </row>
    <row r="58" spans="1:13" x14ac:dyDescent="0.3">
      <c r="A58" s="1" t="s">
        <v>154</v>
      </c>
      <c r="B58" t="s">
        <v>128</v>
      </c>
      <c r="C58" s="150">
        <v>1</v>
      </c>
      <c r="D58" s="150">
        <v>4</v>
      </c>
      <c r="E58" s="150">
        <v>1</v>
      </c>
      <c r="F58" s="150">
        <v>35</v>
      </c>
      <c r="G58" s="150">
        <v>10</v>
      </c>
      <c r="H58" s="150">
        <v>91</v>
      </c>
      <c r="I58" s="150"/>
    </row>
    <row r="59" spans="1:13" x14ac:dyDescent="0.3">
      <c r="B59" t="s">
        <v>129</v>
      </c>
      <c r="C59" s="150">
        <v>268</v>
      </c>
      <c r="D59" s="150">
        <v>261</v>
      </c>
      <c r="E59" s="150">
        <v>244</v>
      </c>
      <c r="F59" s="150">
        <v>267</v>
      </c>
      <c r="G59" s="150">
        <v>292</v>
      </c>
      <c r="H59" s="150">
        <v>193</v>
      </c>
      <c r="I59" s="150"/>
    </row>
    <row r="60" spans="1:13" x14ac:dyDescent="0.3">
      <c r="B60" t="s">
        <v>130</v>
      </c>
      <c r="C60" s="150">
        <v>2</v>
      </c>
      <c r="D60" s="150">
        <v>0</v>
      </c>
      <c r="E60" s="150">
        <v>0</v>
      </c>
      <c r="F60" s="150">
        <v>0</v>
      </c>
      <c r="G60" s="150">
        <v>0</v>
      </c>
      <c r="H60" s="150">
        <v>0</v>
      </c>
      <c r="I60" s="150"/>
    </row>
    <row r="61" spans="1:13" x14ac:dyDescent="0.3">
      <c r="B61" s="151" t="s">
        <v>22</v>
      </c>
      <c r="C61" s="152">
        <v>11760</v>
      </c>
      <c r="D61" s="152">
        <v>13143</v>
      </c>
      <c r="E61" s="152">
        <v>14491</v>
      </c>
      <c r="F61" s="152">
        <v>16370</v>
      </c>
      <c r="G61" s="152">
        <v>16944</v>
      </c>
      <c r="H61" s="152">
        <v>17688</v>
      </c>
      <c r="I61" s="152"/>
    </row>
    <row r="62" spans="1:13" x14ac:dyDescent="0.3">
      <c r="B62" t="s">
        <v>131</v>
      </c>
      <c r="C62" s="150">
        <v>377</v>
      </c>
      <c r="D62" s="150">
        <v>347</v>
      </c>
      <c r="E62" s="150">
        <v>366</v>
      </c>
      <c r="F62" s="150">
        <v>384</v>
      </c>
      <c r="G62" s="150">
        <v>383</v>
      </c>
      <c r="H62" s="150">
        <v>368</v>
      </c>
      <c r="I62" s="150"/>
    </row>
    <row r="63" spans="1:13" x14ac:dyDescent="0.3">
      <c r="B63" t="s">
        <v>132</v>
      </c>
      <c r="C63" s="150">
        <v>3630</v>
      </c>
      <c r="D63" s="150">
        <v>4319</v>
      </c>
      <c r="E63" s="150">
        <v>4417</v>
      </c>
      <c r="F63" s="150">
        <v>4659</v>
      </c>
      <c r="G63" s="150">
        <v>4798</v>
      </c>
      <c r="H63" s="150">
        <v>4807</v>
      </c>
      <c r="I63" s="150"/>
    </row>
    <row r="64" spans="1:13" x14ac:dyDescent="0.3">
      <c r="B64" t="s">
        <v>133</v>
      </c>
      <c r="C64" s="150">
        <v>703</v>
      </c>
      <c r="D64" s="150">
        <v>811</v>
      </c>
      <c r="E64" s="150">
        <v>1278</v>
      </c>
      <c r="F64" s="150">
        <v>1295</v>
      </c>
      <c r="G64" s="150">
        <v>886</v>
      </c>
      <c r="H64" s="150">
        <v>1264</v>
      </c>
      <c r="I64" s="150"/>
    </row>
    <row r="65" spans="1:9" x14ac:dyDescent="0.3">
      <c r="B65" t="s">
        <v>134</v>
      </c>
      <c r="C65" s="150">
        <v>7050</v>
      </c>
      <c r="D65" s="150">
        <v>7666</v>
      </c>
      <c r="E65" s="150">
        <v>8429</v>
      </c>
      <c r="F65" s="150">
        <v>10032</v>
      </c>
      <c r="G65" s="150">
        <v>10877</v>
      </c>
      <c r="H65" s="150">
        <v>11249</v>
      </c>
      <c r="I65" s="150"/>
    </row>
    <row r="66" spans="1:9" x14ac:dyDescent="0.3">
      <c r="B66" s="151" t="s">
        <v>135</v>
      </c>
      <c r="C66" s="152">
        <v>77311</v>
      </c>
      <c r="D66" s="152">
        <v>73761</v>
      </c>
      <c r="E66" s="152">
        <v>77196</v>
      </c>
      <c r="F66" s="152">
        <v>85831</v>
      </c>
      <c r="G66" s="152">
        <v>91754</v>
      </c>
      <c r="H66" s="152">
        <v>88003</v>
      </c>
      <c r="I66" s="152"/>
    </row>
    <row r="67" spans="1:9" x14ac:dyDescent="0.3">
      <c r="B67" s="151" t="s">
        <v>136</v>
      </c>
      <c r="C67" s="152">
        <v>21713</v>
      </c>
      <c r="D67" s="152">
        <v>23298</v>
      </c>
      <c r="E67" s="152">
        <v>24232</v>
      </c>
      <c r="F67" s="152">
        <v>25851</v>
      </c>
      <c r="G67" s="152">
        <v>27820</v>
      </c>
      <c r="H67" s="152">
        <v>21955</v>
      </c>
      <c r="I67" s="152"/>
    </row>
    <row r="68" spans="1:9" x14ac:dyDescent="0.3">
      <c r="B68" t="s">
        <v>137</v>
      </c>
      <c r="C68" s="150">
        <v>2797</v>
      </c>
      <c r="D68" s="150">
        <v>2889</v>
      </c>
      <c r="E68" s="150">
        <v>2829</v>
      </c>
      <c r="F68" s="150">
        <v>2830</v>
      </c>
      <c r="G68" s="150">
        <v>2865</v>
      </c>
      <c r="H68" s="150">
        <v>1588</v>
      </c>
      <c r="I68" s="150"/>
    </row>
    <row r="69" spans="1:9" x14ac:dyDescent="0.3">
      <c r="B69" t="s">
        <v>138</v>
      </c>
      <c r="C69" s="150">
        <v>8161</v>
      </c>
      <c r="D69" s="150">
        <v>8387</v>
      </c>
      <c r="E69" s="150">
        <v>9100</v>
      </c>
      <c r="F69" s="150">
        <v>9789</v>
      </c>
      <c r="G69" s="150">
        <v>10944</v>
      </c>
      <c r="H69" s="150">
        <v>7550</v>
      </c>
      <c r="I69" s="150"/>
    </row>
    <row r="70" spans="1:9" x14ac:dyDescent="0.3">
      <c r="B70" t="s">
        <v>139</v>
      </c>
      <c r="C70" s="150">
        <v>14625</v>
      </c>
      <c r="D70" s="150">
        <v>15307</v>
      </c>
      <c r="E70" s="150">
        <v>16912</v>
      </c>
      <c r="F70" s="150">
        <v>18480</v>
      </c>
      <c r="G70" s="150">
        <v>20718</v>
      </c>
      <c r="H70" s="150">
        <v>19423</v>
      </c>
      <c r="I70" s="150"/>
    </row>
    <row r="71" spans="1:9" x14ac:dyDescent="0.3">
      <c r="B71" t="s">
        <v>140</v>
      </c>
      <c r="C71" s="150">
        <v>40</v>
      </c>
      <c r="D71" s="150">
        <v>41</v>
      </c>
      <c r="E71" s="150">
        <v>44</v>
      </c>
      <c r="F71" s="150">
        <v>44</v>
      </c>
      <c r="G71" s="150">
        <v>53</v>
      </c>
      <c r="H71" s="150">
        <v>63</v>
      </c>
      <c r="I71" s="150"/>
    </row>
    <row r="72" spans="1:9" x14ac:dyDescent="0.3">
      <c r="B72" t="s">
        <v>141</v>
      </c>
      <c r="C72" s="150">
        <v>810</v>
      </c>
      <c r="D72" s="150">
        <v>833</v>
      </c>
      <c r="E72" s="150">
        <v>907</v>
      </c>
      <c r="F72" s="150">
        <v>1000</v>
      </c>
      <c r="G72" s="150">
        <v>1068</v>
      </c>
      <c r="H72" s="150">
        <v>282</v>
      </c>
      <c r="I72" s="150"/>
    </row>
    <row r="73" spans="1:9" x14ac:dyDescent="0.3">
      <c r="B73" t="s">
        <v>142</v>
      </c>
      <c r="C73" s="150">
        <v>2</v>
      </c>
      <c r="D73" s="150">
        <v>2</v>
      </c>
      <c r="E73" s="150">
        <v>2</v>
      </c>
      <c r="F73" s="150">
        <v>2</v>
      </c>
      <c r="G73" s="150">
        <v>2</v>
      </c>
      <c r="H73" s="150">
        <v>2</v>
      </c>
      <c r="I73" s="150"/>
    </row>
    <row r="74" spans="1:9" x14ac:dyDescent="0.3">
      <c r="B74" t="s">
        <v>143</v>
      </c>
      <c r="C74" s="150">
        <v>184</v>
      </c>
      <c r="D74" s="150">
        <v>180</v>
      </c>
      <c r="E74" s="150">
        <v>179</v>
      </c>
      <c r="F74" s="150">
        <v>189</v>
      </c>
      <c r="G74" s="150">
        <v>192</v>
      </c>
      <c r="H74" s="150">
        <v>141</v>
      </c>
      <c r="I74" s="150"/>
    </row>
    <row r="75" spans="1:9" x14ac:dyDescent="0.3">
      <c r="B75" t="s">
        <v>144</v>
      </c>
      <c r="C75" s="150">
        <v>684</v>
      </c>
      <c r="D75" s="150">
        <v>2734</v>
      </c>
      <c r="E75" s="150">
        <v>2744</v>
      </c>
      <c r="F75" s="150">
        <v>3490</v>
      </c>
      <c r="G75" s="150">
        <v>3505</v>
      </c>
      <c r="H75" s="150">
        <v>3622</v>
      </c>
      <c r="I75" s="150"/>
    </row>
    <row r="76" spans="1:9" x14ac:dyDescent="0.3">
      <c r="B76" t="s">
        <v>145</v>
      </c>
      <c r="C76" s="150">
        <v>663</v>
      </c>
      <c r="D76" s="150">
        <v>716</v>
      </c>
      <c r="E76" s="150">
        <v>719</v>
      </c>
      <c r="F76" s="150">
        <v>786</v>
      </c>
      <c r="G76" s="150">
        <v>841</v>
      </c>
      <c r="H76" s="150">
        <v>967</v>
      </c>
      <c r="I76" s="150"/>
    </row>
    <row r="77" spans="1:9" x14ac:dyDescent="0.3">
      <c r="A77" s="1" t="s">
        <v>154</v>
      </c>
      <c r="B77" s="151" t="s">
        <v>146</v>
      </c>
      <c r="C77" s="152">
        <v>27965</v>
      </c>
      <c r="D77" s="152">
        <v>31088</v>
      </c>
      <c r="E77" s="152">
        <v>33435</v>
      </c>
      <c r="F77" s="152">
        <v>36608</v>
      </c>
      <c r="G77" s="152">
        <v>40189</v>
      </c>
      <c r="H77" s="152">
        <v>33638</v>
      </c>
      <c r="I77" s="152"/>
    </row>
    <row r="78" spans="1:9" x14ac:dyDescent="0.3">
      <c r="A78" s="1" t="s">
        <v>154</v>
      </c>
      <c r="B78" t="s">
        <v>147</v>
      </c>
      <c r="C78" s="150">
        <v>6252</v>
      </c>
      <c r="D78" s="150">
        <v>7790</v>
      </c>
      <c r="E78" s="150">
        <v>9204</v>
      </c>
      <c r="F78" s="150">
        <v>10757</v>
      </c>
      <c r="G78" s="150">
        <v>12368</v>
      </c>
      <c r="H78" s="150">
        <v>11683</v>
      </c>
      <c r="I78" s="150"/>
    </row>
    <row r="79" spans="1:9" x14ac:dyDescent="0.3">
      <c r="B79" t="s">
        <v>148</v>
      </c>
      <c r="C79" s="150">
        <v>3256</v>
      </c>
      <c r="D79" s="150">
        <v>4011</v>
      </c>
      <c r="E79" s="150">
        <v>3226</v>
      </c>
      <c r="F79" s="150">
        <v>3003</v>
      </c>
      <c r="G79" s="150">
        <v>2861</v>
      </c>
      <c r="H79" s="150">
        <v>1091</v>
      </c>
      <c r="I79" s="150"/>
    </row>
    <row r="80" spans="1:9" x14ac:dyDescent="0.3">
      <c r="A80" s="1" t="s">
        <v>154</v>
      </c>
      <c r="B80" t="s">
        <v>8</v>
      </c>
      <c r="C80" s="150">
        <v>28663</v>
      </c>
      <c r="D80" s="150">
        <v>24871</v>
      </c>
      <c r="E80" s="150">
        <v>24841</v>
      </c>
      <c r="F80" s="150">
        <v>29415</v>
      </c>
      <c r="G80" s="150">
        <v>31114</v>
      </c>
      <c r="H80" s="150">
        <v>34720</v>
      </c>
      <c r="I80" s="150"/>
    </row>
    <row r="81" spans="1:9" x14ac:dyDescent="0.3">
      <c r="B81" s="151" t="s">
        <v>23</v>
      </c>
      <c r="C81" s="152">
        <v>23678</v>
      </c>
      <c r="D81" s="152">
        <v>21580</v>
      </c>
      <c r="E81" s="152">
        <v>24898</v>
      </c>
      <c r="F81" s="152">
        <v>27561</v>
      </c>
      <c r="G81" s="152">
        <v>29959</v>
      </c>
      <c r="H81" s="152">
        <v>30237</v>
      </c>
      <c r="I81" s="152"/>
    </row>
    <row r="82" spans="1:9" x14ac:dyDescent="0.3">
      <c r="B82" s="151" t="s">
        <v>149</v>
      </c>
      <c r="C82" s="152">
        <v>8879</v>
      </c>
      <c r="D82" s="152">
        <v>10397</v>
      </c>
      <c r="E82" s="152">
        <v>10864</v>
      </c>
      <c r="F82" s="152">
        <v>11771</v>
      </c>
      <c r="G82" s="152">
        <v>14153</v>
      </c>
      <c r="H82" s="152">
        <v>15638</v>
      </c>
      <c r="I82" s="152"/>
    </row>
    <row r="83" spans="1:9" x14ac:dyDescent="0.3">
      <c r="B83" s="151" t="s">
        <v>187</v>
      </c>
      <c r="C83" s="152">
        <v>2562</v>
      </c>
      <c r="D83" s="152">
        <v>2502</v>
      </c>
      <c r="E83" s="152">
        <v>2462</v>
      </c>
      <c r="F83" s="152">
        <v>2956</v>
      </c>
      <c r="G83" s="152">
        <v>4026</v>
      </c>
      <c r="H83" s="152">
        <v>4720</v>
      </c>
      <c r="I83" s="152"/>
    </row>
    <row r="84" spans="1:9" x14ac:dyDescent="0.3">
      <c r="B84" t="s">
        <v>188</v>
      </c>
      <c r="C84" s="150">
        <v>0</v>
      </c>
      <c r="D84" s="150">
        <v>0</v>
      </c>
      <c r="E84" s="150">
        <v>0</v>
      </c>
      <c r="F84" s="150">
        <v>0</v>
      </c>
      <c r="G84" s="150">
        <v>184</v>
      </c>
      <c r="H84" s="150">
        <v>256</v>
      </c>
      <c r="I84" s="150"/>
    </row>
    <row r="85" spans="1:9" x14ac:dyDescent="0.3">
      <c r="B85" t="s">
        <v>189</v>
      </c>
      <c r="C85" s="150">
        <v>2737</v>
      </c>
      <c r="D85" s="150">
        <v>2696</v>
      </c>
      <c r="E85" s="150">
        <v>2659</v>
      </c>
      <c r="F85" s="150">
        <v>3154</v>
      </c>
      <c r="G85" s="150">
        <v>4030</v>
      </c>
      <c r="H85" s="150">
        <v>4640</v>
      </c>
      <c r="I85" s="150"/>
    </row>
    <row r="86" spans="1:9" x14ac:dyDescent="0.3">
      <c r="B86" t="s">
        <v>190</v>
      </c>
      <c r="C86" s="150">
        <v>-175</v>
      </c>
      <c r="D86" s="150">
        <v>-195</v>
      </c>
      <c r="E86" s="150">
        <v>-197</v>
      </c>
      <c r="F86" s="150">
        <v>-198</v>
      </c>
      <c r="G86" s="150">
        <v>-188</v>
      </c>
      <c r="H86" s="150">
        <v>-176</v>
      </c>
      <c r="I86" s="150"/>
    </row>
    <row r="87" spans="1:9" x14ac:dyDescent="0.3">
      <c r="A87" s="1" t="s">
        <v>154</v>
      </c>
      <c r="B87" t="s">
        <v>150</v>
      </c>
      <c r="C87" s="150">
        <v>7277</v>
      </c>
      <c r="D87" s="150">
        <v>4659</v>
      </c>
      <c r="E87" s="150">
        <v>4654</v>
      </c>
      <c r="F87" s="150">
        <v>4880</v>
      </c>
      <c r="G87" s="150">
        <v>7218</v>
      </c>
      <c r="H87" s="150">
        <v>4012</v>
      </c>
      <c r="I87" s="150"/>
    </row>
    <row r="88" spans="1:9" x14ac:dyDescent="0.3">
      <c r="B88" t="s">
        <v>151</v>
      </c>
      <c r="C88" s="150">
        <v>6</v>
      </c>
      <c r="D88" s="150">
        <v>7</v>
      </c>
      <c r="E88" s="150">
        <v>11</v>
      </c>
      <c r="F88" s="150">
        <v>13</v>
      </c>
      <c r="G88" s="150">
        <v>31</v>
      </c>
      <c r="H88" s="150">
        <v>10</v>
      </c>
      <c r="I88" s="150"/>
    </row>
    <row r="89" spans="1:9" x14ac:dyDescent="0.3">
      <c r="B89" t="s">
        <v>152</v>
      </c>
      <c r="C89" s="150">
        <v>4952</v>
      </c>
      <c r="D89" s="150">
        <v>4015</v>
      </c>
      <c r="E89" s="150">
        <v>6906</v>
      </c>
      <c r="F89" s="150">
        <v>7941</v>
      </c>
      <c r="G89" s="150">
        <v>4531</v>
      </c>
      <c r="H89" s="150">
        <v>5858</v>
      </c>
      <c r="I89" s="150"/>
    </row>
    <row r="90" spans="1:9" x14ac:dyDescent="0.3">
      <c r="B90" s="151" t="s">
        <v>153</v>
      </c>
      <c r="C90" s="152">
        <v>77311</v>
      </c>
      <c r="D90" s="152">
        <v>73761</v>
      </c>
      <c r="E90" s="152">
        <v>77196</v>
      </c>
      <c r="F90" s="152">
        <v>85831</v>
      </c>
      <c r="G90" s="152">
        <v>91754</v>
      </c>
      <c r="H90" s="152">
        <v>88003</v>
      </c>
      <c r="I90" s="152"/>
    </row>
    <row r="91" spans="1:9" x14ac:dyDescent="0.3">
      <c r="B91" s="12" t="s">
        <v>32</v>
      </c>
      <c r="C91" s="44">
        <v>1</v>
      </c>
      <c r="D91" s="44">
        <v>1</v>
      </c>
      <c r="E91" s="44">
        <v>1</v>
      </c>
      <c r="F91" s="44">
        <v>1</v>
      </c>
      <c r="G91" s="44">
        <v>1</v>
      </c>
      <c r="H91" s="44">
        <v>1</v>
      </c>
      <c r="I91" s="4"/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D578-A421-4551-B45F-0B219884EF48}">
  <dimension ref="A1:L78"/>
  <sheetViews>
    <sheetView topLeftCell="A22" zoomScale="85" zoomScaleNormal="85" workbookViewId="0">
      <selection activeCell="D3" sqref="D3"/>
    </sheetView>
  </sheetViews>
  <sheetFormatPr defaultRowHeight="14.4" x14ac:dyDescent="0.3"/>
  <cols>
    <col min="1" max="1" width="23.77734375" customWidth="1"/>
    <col min="2" max="2" width="20.88671875" bestFit="1" customWidth="1"/>
    <col min="3" max="3" width="9.77734375" customWidth="1"/>
    <col min="7" max="7" width="9.6640625" customWidth="1"/>
  </cols>
  <sheetData>
    <row r="1" spans="1:12" x14ac:dyDescent="0.3">
      <c r="F1" s="1"/>
      <c r="G1" s="1"/>
      <c r="H1" s="1"/>
      <c r="I1" s="1"/>
      <c r="J1" s="1"/>
      <c r="K1" s="1"/>
      <c r="L1" s="1"/>
    </row>
    <row r="2" spans="1:12" x14ac:dyDescent="0.3">
      <c r="A2">
        <v>1</v>
      </c>
      <c r="B2" s="190" t="s">
        <v>88</v>
      </c>
      <c r="C2" s="190"/>
      <c r="D2" s="189" t="s">
        <v>89</v>
      </c>
      <c r="E2" s="189"/>
      <c r="F2" s="1"/>
      <c r="G2" s="1"/>
      <c r="H2" s="1"/>
      <c r="I2" s="1"/>
      <c r="J2" s="1"/>
      <c r="K2" s="1"/>
      <c r="L2" s="1"/>
    </row>
    <row r="3" spans="1:12" x14ac:dyDescent="0.3">
      <c r="B3" s="191" t="s">
        <v>87</v>
      </c>
      <c r="C3" s="191"/>
      <c r="D3" s="117">
        <f>IF(B3=B6,C6,IF(B3=B7,C7,IF(B3=B8,C8)))</f>
        <v>9.2929087448319653E-2</v>
      </c>
      <c r="E3" s="21"/>
      <c r="F3" s="1"/>
      <c r="G3" s="1"/>
      <c r="H3" s="1"/>
      <c r="I3" s="1"/>
      <c r="J3" s="1"/>
      <c r="K3" s="1"/>
      <c r="L3" s="1"/>
    </row>
    <row r="4" spans="1:12" x14ac:dyDescent="0.3">
      <c r="F4" s="1"/>
      <c r="G4" s="1"/>
      <c r="H4" s="1"/>
      <c r="I4" s="1"/>
      <c r="J4" s="1"/>
      <c r="K4" s="1"/>
      <c r="L4" s="1"/>
    </row>
    <row r="5" spans="1:12" x14ac:dyDescent="0.3">
      <c r="B5" t="s">
        <v>0</v>
      </c>
      <c r="F5" s="1"/>
      <c r="G5" s="1"/>
      <c r="H5" s="1"/>
      <c r="I5" s="1"/>
      <c r="J5" s="1"/>
      <c r="K5" s="1"/>
      <c r="L5" s="1"/>
    </row>
    <row r="6" spans="1:12" x14ac:dyDescent="0.3">
      <c r="B6" t="s">
        <v>85</v>
      </c>
      <c r="C6" s="16">
        <f>C8+20%*C8</f>
        <v>0.11151490493798358</v>
      </c>
      <c r="F6" s="1"/>
      <c r="G6" s="1"/>
      <c r="H6" s="1"/>
      <c r="I6" s="1"/>
      <c r="J6" s="1"/>
      <c r="K6" s="1"/>
      <c r="L6" s="1"/>
    </row>
    <row r="7" spans="1:12" x14ac:dyDescent="0.3">
      <c r="B7" t="s">
        <v>86</v>
      </c>
      <c r="C7" s="16">
        <f>C8-20%*C8</f>
        <v>7.4343269958655728E-2</v>
      </c>
      <c r="F7" s="1"/>
      <c r="G7" s="1"/>
      <c r="H7" s="1"/>
      <c r="I7" s="1"/>
      <c r="J7" s="1"/>
      <c r="K7" s="1"/>
      <c r="L7" s="1"/>
    </row>
    <row r="8" spans="1:12" x14ac:dyDescent="0.3">
      <c r="B8" t="s">
        <v>87</v>
      </c>
      <c r="C8" s="16">
        <f>AVERAGE('Financial Statement'!D12:H12)</f>
        <v>9.2929087448319653E-2</v>
      </c>
      <c r="F8" s="1"/>
      <c r="G8" s="1"/>
      <c r="H8" s="1"/>
      <c r="I8" s="1"/>
      <c r="J8" s="1"/>
      <c r="K8" s="1"/>
      <c r="L8" s="1"/>
    </row>
    <row r="9" spans="1:12" x14ac:dyDescent="0.3">
      <c r="F9" s="1"/>
      <c r="G9" s="1"/>
      <c r="H9" s="1"/>
      <c r="I9" s="1"/>
      <c r="J9" s="1"/>
      <c r="K9" s="1"/>
      <c r="L9" s="1"/>
    </row>
    <row r="10" spans="1:12" x14ac:dyDescent="0.3">
      <c r="A10">
        <v>2</v>
      </c>
      <c r="B10" s="190" t="s">
        <v>88</v>
      </c>
      <c r="C10" s="190"/>
      <c r="D10" s="189" t="s">
        <v>89</v>
      </c>
      <c r="E10" s="189"/>
      <c r="F10" s="1"/>
      <c r="G10" s="1"/>
      <c r="H10" s="1"/>
      <c r="I10" s="1"/>
      <c r="J10" s="1"/>
      <c r="K10" s="1"/>
      <c r="L10" s="1"/>
    </row>
    <row r="11" spans="1:12" x14ac:dyDescent="0.3">
      <c r="B11" s="191" t="s">
        <v>87</v>
      </c>
      <c r="C11" s="191"/>
      <c r="D11" s="18">
        <f>IF(B11=B13,C13,IF(B11=B14,C14,IF(B11=B15,C15)))</f>
        <v>0.47172477095324955</v>
      </c>
      <c r="F11" s="1"/>
      <c r="G11" s="1"/>
      <c r="H11" s="1"/>
      <c r="I11" s="1"/>
      <c r="J11" s="1"/>
      <c r="K11" s="1"/>
      <c r="L11" s="1"/>
    </row>
    <row r="12" spans="1:12" x14ac:dyDescent="0.3">
      <c r="B12" t="s">
        <v>69</v>
      </c>
      <c r="F12" s="1"/>
      <c r="G12" s="1"/>
      <c r="H12" s="1"/>
      <c r="I12" s="1"/>
      <c r="J12" s="1"/>
      <c r="K12" s="1"/>
      <c r="L12" s="1"/>
    </row>
    <row r="13" spans="1:12" x14ac:dyDescent="0.3">
      <c r="B13" t="s">
        <v>85</v>
      </c>
      <c r="C13" s="16">
        <f>C15+20%*C15</f>
        <v>0.56606972514389953</v>
      </c>
    </row>
    <row r="14" spans="1:12" x14ac:dyDescent="0.3">
      <c r="B14" t="s">
        <v>86</v>
      </c>
      <c r="C14" s="16">
        <f>C15-20%*C15</f>
        <v>0.37737981676259963</v>
      </c>
    </row>
    <row r="15" spans="1:12" x14ac:dyDescent="0.3">
      <c r="B15" t="s">
        <v>87</v>
      </c>
      <c r="C15" s="17">
        <f>AVERAGE('Financial Statement'!C15:H15)</f>
        <v>0.47172477095324955</v>
      </c>
    </row>
    <row r="17" spans="1:12" x14ac:dyDescent="0.3">
      <c r="A17">
        <v>3</v>
      </c>
      <c r="B17" s="190" t="s">
        <v>74</v>
      </c>
      <c r="C17" s="190"/>
      <c r="D17" s="189" t="s">
        <v>89</v>
      </c>
      <c r="E17" s="189"/>
    </row>
    <row r="18" spans="1:12" x14ac:dyDescent="0.3">
      <c r="B18" s="192" t="s">
        <v>167</v>
      </c>
      <c r="C18" s="192"/>
      <c r="D18" s="116">
        <f>AVERAGE('Financial Statement'!C21:H21)</f>
        <v>0.18878577761318413</v>
      </c>
    </row>
    <row r="21" spans="1:12" x14ac:dyDescent="0.3">
      <c r="A21">
        <v>4</v>
      </c>
      <c r="B21" s="190" t="s">
        <v>2</v>
      </c>
      <c r="C21" s="190"/>
      <c r="D21" s="189" t="s">
        <v>89</v>
      </c>
      <c r="E21" s="189"/>
    </row>
    <row r="22" spans="1:12" x14ac:dyDescent="0.3">
      <c r="B22" s="192" t="s">
        <v>91</v>
      </c>
      <c r="C22" s="192"/>
      <c r="D22" s="16">
        <f>AVERAGE('Financial Statement'!C27:H27)</f>
        <v>2.7498679174707313E-2</v>
      </c>
    </row>
    <row r="24" spans="1:12" x14ac:dyDescent="0.3">
      <c r="A24">
        <v>4</v>
      </c>
      <c r="B24" s="190" t="s">
        <v>3</v>
      </c>
      <c r="C24" s="190"/>
      <c r="D24" s="190" t="s">
        <v>89</v>
      </c>
      <c r="E24" s="190"/>
      <c r="F24" s="193" t="s">
        <v>95</v>
      </c>
      <c r="G24" s="193"/>
      <c r="H24" s="193"/>
      <c r="I24" s="193"/>
      <c r="J24" s="193"/>
      <c r="K24" s="193"/>
      <c r="L24" s="193"/>
    </row>
    <row r="25" spans="1:12" x14ac:dyDescent="0.3">
      <c r="B25" s="192" t="s">
        <v>94</v>
      </c>
      <c r="C25" s="192"/>
      <c r="D25" s="26">
        <f>AVERAGE('Financial Statement'!C33:H33)</f>
        <v>1.0140683993339129E-3</v>
      </c>
      <c r="F25" s="193"/>
      <c r="G25" s="193"/>
      <c r="H25" s="193"/>
      <c r="I25" s="193"/>
      <c r="J25" s="193"/>
      <c r="K25" s="193"/>
      <c r="L25" s="193"/>
    </row>
    <row r="27" spans="1:12" x14ac:dyDescent="0.3">
      <c r="A27">
        <v>5</v>
      </c>
      <c r="B27" s="190" t="s">
        <v>5</v>
      </c>
      <c r="C27" s="190"/>
      <c r="D27" s="190" t="s">
        <v>89</v>
      </c>
      <c r="E27" s="190"/>
    </row>
    <row r="28" spans="1:12" x14ac:dyDescent="0.3">
      <c r="B28" s="192" t="s">
        <v>71</v>
      </c>
      <c r="C28" s="192"/>
      <c r="D28" s="17">
        <f>AVERAGE('Financial Statement'!C39:H39)</f>
        <v>0.291874266002631</v>
      </c>
    </row>
    <row r="30" spans="1:12" x14ac:dyDescent="0.3">
      <c r="A30" s="80" t="s">
        <v>126</v>
      </c>
      <c r="B30" s="81"/>
      <c r="G30" s="61" t="s">
        <v>166</v>
      </c>
    </row>
    <row r="31" spans="1:12" x14ac:dyDescent="0.3">
      <c r="A31" s="82" t="s">
        <v>156</v>
      </c>
      <c r="B31" s="83">
        <v>43921</v>
      </c>
      <c r="C31" s="84">
        <v>44286</v>
      </c>
      <c r="D31" s="84">
        <v>44651</v>
      </c>
      <c r="E31" s="84">
        <v>45016</v>
      </c>
      <c r="F31" s="84">
        <v>45382</v>
      </c>
      <c r="G31" s="84">
        <v>45747</v>
      </c>
    </row>
    <row r="32" spans="1:12" x14ac:dyDescent="0.3">
      <c r="A32" s="69" t="s">
        <v>122</v>
      </c>
      <c r="B32" s="70">
        <f>-'Data Sheet'!B97</f>
        <v>2441</v>
      </c>
      <c r="C32" s="70">
        <f>-'Data Sheet'!C97</f>
        <v>1837</v>
      </c>
      <c r="D32" s="70">
        <f>-'Data Sheet'!D97</f>
        <v>2142</v>
      </c>
      <c r="E32" s="70">
        <f>-'Data Sheet'!E97</f>
        <v>2743</v>
      </c>
      <c r="F32" s="70">
        <f>-'Data Sheet'!F97</f>
        <v>3563</v>
      </c>
      <c r="G32" s="71">
        <f>-'Data Sheet'!G97</f>
        <v>2279</v>
      </c>
    </row>
    <row r="33" spans="1:11" x14ac:dyDescent="0.3">
      <c r="A33" s="72"/>
      <c r="B33" s="73"/>
      <c r="C33" s="73"/>
      <c r="D33" s="73"/>
      <c r="E33" s="73"/>
      <c r="F33" s="73"/>
      <c r="G33" s="74"/>
    </row>
    <row r="34" spans="1:11" x14ac:dyDescent="0.3">
      <c r="A34" s="72" t="s">
        <v>123</v>
      </c>
      <c r="B34" s="75">
        <f>B32/'Financial Statement'!C11</f>
        <v>4.9425261755457334E-2</v>
      </c>
      <c r="C34" s="75">
        <f>C32/'Financial Statement'!D11</f>
        <v>3.7293850980917607E-2</v>
      </c>
      <c r="D34" s="75">
        <f>D32/'Financial Statement'!E11</f>
        <v>3.5320574613971846E-2</v>
      </c>
      <c r="E34" s="75">
        <f>E32/'Financial Statement'!F11</f>
        <v>3.8677911979337565E-2</v>
      </c>
      <c r="F34" s="75">
        <f>F32/'Financial Statement'!G11</f>
        <v>5.2449554657205431E-2</v>
      </c>
      <c r="G34" s="76">
        <f>G32/'Financial Statement'!H11</f>
        <v>3.0256226025027571E-2</v>
      </c>
      <c r="K34" s="67"/>
    </row>
    <row r="35" spans="1:11" x14ac:dyDescent="0.3">
      <c r="A35" s="72"/>
      <c r="B35" s="73"/>
      <c r="C35" s="73"/>
      <c r="D35" s="73"/>
      <c r="E35" s="73"/>
      <c r="F35" s="73"/>
      <c r="G35" s="74"/>
    </row>
    <row r="36" spans="1:11" x14ac:dyDescent="0.3">
      <c r="A36" s="72" t="s">
        <v>124</v>
      </c>
      <c r="B36" s="75">
        <f>AVERAGE($B$34:$G$34)</f>
        <v>4.0570563335319561E-2</v>
      </c>
      <c r="C36" s="75"/>
      <c r="D36" s="75"/>
      <c r="E36" s="75"/>
      <c r="F36" s="75"/>
      <c r="G36" s="76"/>
    </row>
    <row r="37" spans="1:11" x14ac:dyDescent="0.3">
      <c r="A37" s="73"/>
      <c r="B37" s="75"/>
      <c r="C37" s="75"/>
      <c r="D37" s="75"/>
      <c r="E37" s="75"/>
      <c r="F37" s="75"/>
      <c r="G37" s="76"/>
    </row>
    <row r="38" spans="1:11" x14ac:dyDescent="0.3">
      <c r="A38" s="87" t="s">
        <v>156</v>
      </c>
      <c r="B38" s="86">
        <v>46107</v>
      </c>
      <c r="C38" s="84">
        <v>46473</v>
      </c>
      <c r="D38" s="84">
        <v>46840</v>
      </c>
      <c r="E38" s="84">
        <v>47206</v>
      </c>
      <c r="F38" s="84">
        <v>47572</v>
      </c>
      <c r="G38" s="74"/>
    </row>
    <row r="39" spans="1:11" x14ac:dyDescent="0.3">
      <c r="A39" s="77" t="s">
        <v>125</v>
      </c>
      <c r="B39" s="78">
        <f>$B$36*'Financial Statement'!I11</f>
        <v>3339.8932949552664</v>
      </c>
      <c r="C39" s="78">
        <f>$B$36*'Financial Statement'!J11</f>
        <v>3650.2665310302214</v>
      </c>
      <c r="D39" s="78">
        <f>$B$36*'Financial Statement'!K11</f>
        <v>3989.4824687020032</v>
      </c>
      <c r="E39" s="78">
        <f>$B$36*'Financial Statement'!L11</f>
        <v>4360.2214339095499</v>
      </c>
      <c r="F39" s="78">
        <f>$B$36*'Financial Statement'!M11</f>
        <v>4765.412832835369</v>
      </c>
      <c r="G39" s="79">
        <f>$B$36*'Financial Statement'!N11</f>
        <v>0</v>
      </c>
    </row>
    <row r="42" spans="1:11" x14ac:dyDescent="0.3">
      <c r="A42" s="146" t="s">
        <v>159</v>
      </c>
      <c r="B42" s="147"/>
      <c r="G42" s="61" t="s">
        <v>166</v>
      </c>
    </row>
    <row r="43" spans="1:11" x14ac:dyDescent="0.3">
      <c r="A43" s="82" t="s">
        <v>156</v>
      </c>
      <c r="B43" s="83">
        <v>43921</v>
      </c>
      <c r="C43" s="83">
        <v>44286</v>
      </c>
      <c r="D43" s="83">
        <v>44651</v>
      </c>
      <c r="E43" s="83">
        <v>45016</v>
      </c>
      <c r="F43" s="83">
        <v>45382</v>
      </c>
      <c r="G43" s="90">
        <v>45747</v>
      </c>
    </row>
    <row r="44" spans="1:11" x14ac:dyDescent="0.3">
      <c r="A44" s="91" t="s">
        <v>18</v>
      </c>
      <c r="B44" s="92">
        <f>'Data Sheet'!B71</f>
        <v>8879</v>
      </c>
      <c r="C44" s="92">
        <f>'Data Sheet'!C71</f>
        <v>10397</v>
      </c>
      <c r="D44" s="92">
        <f>'Data Sheet'!D71</f>
        <v>10864</v>
      </c>
      <c r="E44" s="92">
        <f>'Data Sheet'!E71</f>
        <v>11771</v>
      </c>
      <c r="F44" s="92">
        <f>'Data Sheet'!F71</f>
        <v>14153</v>
      </c>
      <c r="G44" s="92">
        <f>'Data Sheet'!G71</f>
        <v>15638</v>
      </c>
    </row>
    <row r="45" spans="1:11" x14ac:dyDescent="0.3">
      <c r="A45" s="94"/>
      <c r="B45" s="95"/>
      <c r="C45" s="95"/>
      <c r="D45" s="95"/>
      <c r="E45" s="95"/>
      <c r="F45" s="95"/>
      <c r="G45" s="96"/>
    </row>
    <row r="46" spans="1:11" x14ac:dyDescent="0.3">
      <c r="A46" s="97" t="s">
        <v>157</v>
      </c>
      <c r="B46" s="92">
        <f>'Data Sheet'!B72</f>
        <v>2562</v>
      </c>
      <c r="C46" s="92">
        <f>'Data Sheet'!C72</f>
        <v>2502</v>
      </c>
      <c r="D46" s="92">
        <f>'Data Sheet'!D72</f>
        <v>2462</v>
      </c>
      <c r="E46" s="92">
        <f>'Data Sheet'!E72</f>
        <v>2956</v>
      </c>
      <c r="F46" s="92">
        <f>'Data Sheet'!F72</f>
        <v>4026</v>
      </c>
      <c r="G46" s="92">
        <f>'Data Sheet'!G72</f>
        <v>4720</v>
      </c>
    </row>
    <row r="47" spans="1:11" x14ac:dyDescent="0.3">
      <c r="A47" s="94"/>
      <c r="B47" s="95"/>
      <c r="C47" s="95"/>
      <c r="D47" s="95"/>
      <c r="E47" s="95"/>
      <c r="F47" s="95"/>
      <c r="G47" s="96"/>
    </row>
    <row r="48" spans="1:11" x14ac:dyDescent="0.3">
      <c r="A48" s="94" t="s">
        <v>158</v>
      </c>
      <c r="B48" s="92">
        <f>'Data Sheet'!B52</f>
        <v>3630</v>
      </c>
      <c r="C48" s="92">
        <f>'Data Sheet'!C52</f>
        <v>4319</v>
      </c>
      <c r="D48" s="92">
        <f>'Data Sheet'!D52</f>
        <v>4417</v>
      </c>
      <c r="E48" s="92">
        <f>'Data Sheet'!E52</f>
        <v>4659</v>
      </c>
      <c r="F48" s="92">
        <f>'Data Sheet'!F52</f>
        <v>4798</v>
      </c>
      <c r="G48" s="92">
        <f>'Data Sheet'!G52</f>
        <v>4807</v>
      </c>
    </row>
    <row r="49" spans="1:8" x14ac:dyDescent="0.3">
      <c r="A49" s="94"/>
      <c r="B49" s="95"/>
      <c r="C49" s="95"/>
      <c r="D49" s="95"/>
      <c r="E49" s="95"/>
      <c r="F49" s="95"/>
      <c r="G49" s="96"/>
    </row>
    <row r="50" spans="1:8" x14ac:dyDescent="0.3">
      <c r="A50" s="94" t="s">
        <v>155</v>
      </c>
      <c r="B50" s="98">
        <f>SUM(B44,B46)-B48</f>
        <v>7811</v>
      </c>
      <c r="C50" s="98">
        <f t="shared" ref="C50:G50" si="0">SUM(C44,C46)-C48</f>
        <v>8580</v>
      </c>
      <c r="D50" s="98">
        <f t="shared" si="0"/>
        <v>8909</v>
      </c>
      <c r="E50" s="98">
        <f t="shared" si="0"/>
        <v>10068</v>
      </c>
      <c r="F50" s="98">
        <f t="shared" si="0"/>
        <v>13381</v>
      </c>
      <c r="G50" s="99">
        <f t="shared" si="0"/>
        <v>15551</v>
      </c>
    </row>
    <row r="51" spans="1:8" x14ac:dyDescent="0.3">
      <c r="A51" s="94"/>
      <c r="B51" s="95"/>
      <c r="C51" s="95"/>
      <c r="D51" s="95"/>
      <c r="E51" s="95"/>
      <c r="F51" s="95"/>
      <c r="G51" s="96"/>
    </row>
    <row r="52" spans="1:8" x14ac:dyDescent="0.3">
      <c r="A52" s="94" t="s">
        <v>160</v>
      </c>
      <c r="B52" s="100" t="s">
        <v>161</v>
      </c>
      <c r="C52" s="98">
        <f>C50-B50</f>
        <v>769</v>
      </c>
      <c r="D52" s="98">
        <f t="shared" ref="D52:G52" si="1">D50-C50</f>
        <v>329</v>
      </c>
      <c r="E52" s="98">
        <f t="shared" si="1"/>
        <v>1159</v>
      </c>
      <c r="F52" s="98">
        <f t="shared" si="1"/>
        <v>3313</v>
      </c>
      <c r="G52" s="99">
        <f t="shared" si="1"/>
        <v>2170</v>
      </c>
    </row>
    <row r="53" spans="1:8" x14ac:dyDescent="0.3">
      <c r="A53" s="94"/>
      <c r="B53" s="1"/>
      <c r="C53" s="1"/>
      <c r="D53" s="1"/>
      <c r="E53" s="1"/>
      <c r="F53" s="1"/>
      <c r="G53" s="101"/>
    </row>
    <row r="54" spans="1:8" x14ac:dyDescent="0.3">
      <c r="A54" s="94" t="s">
        <v>162</v>
      </c>
      <c r="B54" s="102">
        <f>B50/'Financial Statement'!C11</f>
        <v>0.15815678802616848</v>
      </c>
      <c r="C54" s="102">
        <f>C50/'Financial Statement'!D11</f>
        <v>0.17418684889290859</v>
      </c>
      <c r="D54" s="102">
        <f>D50/'Financial Statement'!E11</f>
        <v>0.14690522840143563</v>
      </c>
      <c r="E54" s="102">
        <f>E50/'Financial Statement'!F11</f>
        <v>0.14196471666349639</v>
      </c>
      <c r="F54" s="102">
        <f>F50/'Financial Statement'!G11</f>
        <v>0.19697656212968451</v>
      </c>
      <c r="G54" s="103">
        <f>G50/'Financial Statement'!H11</f>
        <v>0.20645659101149791</v>
      </c>
    </row>
    <row r="55" spans="1:8" x14ac:dyDescent="0.3">
      <c r="A55" s="94"/>
      <c r="B55" s="1"/>
      <c r="C55" s="1"/>
      <c r="D55" s="1"/>
      <c r="E55" s="1"/>
      <c r="F55" s="1"/>
      <c r="G55" s="101"/>
    </row>
    <row r="56" spans="1:8" x14ac:dyDescent="0.3">
      <c r="A56" s="94" t="s">
        <v>163</v>
      </c>
      <c r="B56" s="104">
        <f>AVERAGE(B54:G54)</f>
        <v>0.17077445585419859</v>
      </c>
      <c r="C56" s="1"/>
      <c r="D56" s="1"/>
      <c r="E56" s="1"/>
      <c r="F56" s="1"/>
      <c r="G56" s="101"/>
    </row>
    <row r="57" spans="1:8" x14ac:dyDescent="0.3">
      <c r="A57" s="85" t="s">
        <v>156</v>
      </c>
      <c r="B57" s="86">
        <v>46107</v>
      </c>
      <c r="C57" s="86">
        <v>46473</v>
      </c>
      <c r="D57" s="86">
        <v>46840</v>
      </c>
      <c r="E57" s="86">
        <v>47206</v>
      </c>
      <c r="F57" s="86">
        <v>47572</v>
      </c>
      <c r="G57" s="101"/>
    </row>
    <row r="58" spans="1:8" x14ac:dyDescent="0.3">
      <c r="A58" s="94" t="s">
        <v>164</v>
      </c>
      <c r="B58" s="98">
        <f>$B$56*'Financial Statement'!I11</f>
        <v>14058.67735537519</v>
      </c>
      <c r="C58" s="98">
        <f>$B$56*'Financial Statement'!J11</f>
        <v>15365.137412740563</v>
      </c>
      <c r="D58" s="98">
        <f>$B$56*'Financial Statement'!K11</f>
        <v>16793.005611024579</v>
      </c>
      <c r="E58" s="98">
        <f>$B$56*'Financial Statement'!L11</f>
        <v>18353.564297971607</v>
      </c>
      <c r="F58" s="98">
        <f>$B$56*'Financial Statement'!M11</f>
        <v>20059.144279606167</v>
      </c>
      <c r="G58" s="101"/>
    </row>
    <row r="59" spans="1:8" x14ac:dyDescent="0.3">
      <c r="A59" s="94"/>
      <c r="B59" s="1"/>
      <c r="C59" s="1"/>
      <c r="D59" s="1"/>
      <c r="E59" s="1"/>
      <c r="F59" s="1"/>
      <c r="G59" s="101"/>
    </row>
    <row r="60" spans="1:8" x14ac:dyDescent="0.3">
      <c r="A60" s="105" t="s">
        <v>165</v>
      </c>
      <c r="B60" s="108">
        <f>B58-G50</f>
        <v>-1492.32264462481</v>
      </c>
      <c r="C60" s="108">
        <f>C58-B58</f>
        <v>1306.4600573653734</v>
      </c>
      <c r="D60" s="108">
        <f t="shared" ref="D60:F60" si="2">D58-C58</f>
        <v>1427.8681982840153</v>
      </c>
      <c r="E60" s="108">
        <f t="shared" si="2"/>
        <v>1560.558686947028</v>
      </c>
      <c r="F60" s="106">
        <f t="shared" si="2"/>
        <v>1705.5799816345607</v>
      </c>
      <c r="G60" s="107"/>
    </row>
    <row r="62" spans="1:8" x14ac:dyDescent="0.3">
      <c r="A62" s="148" t="s">
        <v>183</v>
      </c>
    </row>
    <row r="63" spans="1:8" x14ac:dyDescent="0.3">
      <c r="A63" t="s">
        <v>176</v>
      </c>
      <c r="B63" s="140">
        <v>6.7500000000000004E-2</v>
      </c>
      <c r="C63" s="143" t="s">
        <v>182</v>
      </c>
      <c r="D63" s="142"/>
      <c r="E63" s="142"/>
      <c r="F63" s="142"/>
      <c r="G63" s="142"/>
      <c r="H63" s="89"/>
    </row>
    <row r="64" spans="1:8" x14ac:dyDescent="0.3">
      <c r="A64" t="s">
        <v>177</v>
      </c>
      <c r="B64" s="141">
        <v>0.63</v>
      </c>
      <c r="C64" s="94" t="s">
        <v>179</v>
      </c>
      <c r="D64" s="1"/>
      <c r="E64" s="1"/>
      <c r="F64" s="1"/>
      <c r="G64" s="1"/>
      <c r="H64" s="101"/>
    </row>
    <row r="65" spans="1:8" x14ac:dyDescent="0.3">
      <c r="A65" t="s">
        <v>178</v>
      </c>
      <c r="B65" s="140">
        <v>6.7500000000000004E-2</v>
      </c>
      <c r="C65" s="105" t="s">
        <v>180</v>
      </c>
      <c r="D65" s="144"/>
      <c r="E65" s="144"/>
      <c r="F65" s="144"/>
      <c r="G65" s="144"/>
      <c r="H65" s="107"/>
    </row>
    <row r="66" spans="1:8" ht="15" thickBot="1" x14ac:dyDescent="0.35">
      <c r="A66" s="145" t="s">
        <v>181</v>
      </c>
      <c r="B66" s="161">
        <f>B63+(B64*B65)</f>
        <v>0.11002500000000001</v>
      </c>
    </row>
    <row r="67" spans="1:8" ht="15" thickTop="1" x14ac:dyDescent="0.3"/>
    <row r="68" spans="1:8" x14ac:dyDescent="0.3">
      <c r="A68" s="148" t="s">
        <v>184</v>
      </c>
    </row>
    <row r="69" spans="1:8" x14ac:dyDescent="0.3">
      <c r="A69" s="149" t="s">
        <v>185</v>
      </c>
      <c r="B69" s="92">
        <f>'Financial Statement'!H32</f>
        <v>45.06</v>
      </c>
    </row>
    <row r="70" spans="1:8" x14ac:dyDescent="0.3">
      <c r="A70" s="149" t="s">
        <v>191</v>
      </c>
      <c r="B70" s="92">
        <f>'Financial Statement'!G56</f>
        <v>303</v>
      </c>
    </row>
    <row r="71" spans="1:8" x14ac:dyDescent="0.3">
      <c r="A71" s="153" t="s">
        <v>192</v>
      </c>
      <c r="B71" s="92">
        <f>'Data Sheet'!G45</f>
        <v>285</v>
      </c>
    </row>
    <row r="72" spans="1:8" x14ac:dyDescent="0.3">
      <c r="A72" s="153" t="s">
        <v>193</v>
      </c>
      <c r="B72" s="154">
        <f>(B70+B71)/2</f>
        <v>294</v>
      </c>
    </row>
    <row r="73" spans="1:8" x14ac:dyDescent="0.3">
      <c r="A73" s="153" t="s">
        <v>194</v>
      </c>
      <c r="B73" s="139">
        <f>B69/B72</f>
        <v>0.15326530612244899</v>
      </c>
    </row>
    <row r="74" spans="1:8" x14ac:dyDescent="0.3">
      <c r="A74" s="153"/>
      <c r="B74" s="139"/>
    </row>
    <row r="75" spans="1:8" ht="15" thickBot="1" x14ac:dyDescent="0.35">
      <c r="A75" s="159" t="s">
        <v>195</v>
      </c>
      <c r="B75" s="160">
        <f>B73*(1-'Financial Statement'!H39)</f>
        <v>0.10673577818179703</v>
      </c>
      <c r="C75" s="88" t="s">
        <v>196</v>
      </c>
      <c r="D75" s="142"/>
      <c r="E75" s="142"/>
      <c r="F75" s="142"/>
      <c r="G75" s="142"/>
      <c r="H75" s="89"/>
    </row>
    <row r="76" spans="1:8" ht="15" thickTop="1" x14ac:dyDescent="0.3">
      <c r="C76" s="156" t="s">
        <v>197</v>
      </c>
      <c r="D76" s="1"/>
      <c r="E76" s="1"/>
      <c r="F76" s="1"/>
      <c r="G76" s="1"/>
      <c r="H76" s="101"/>
    </row>
    <row r="77" spans="1:8" x14ac:dyDescent="0.3">
      <c r="C77" s="157" t="s">
        <v>198</v>
      </c>
      <c r="D77" s="144"/>
      <c r="E77" s="144"/>
      <c r="F77" s="144"/>
      <c r="G77" s="144"/>
      <c r="H77" s="107"/>
    </row>
    <row r="78" spans="1:8" x14ac:dyDescent="0.3">
      <c r="A78" s="148" t="s">
        <v>216</v>
      </c>
      <c r="B78" s="165">
        <v>0.05</v>
      </c>
    </row>
  </sheetData>
  <mergeCells count="19">
    <mergeCell ref="B25:C25"/>
    <mergeCell ref="B27:C27"/>
    <mergeCell ref="D27:E27"/>
    <mergeCell ref="B28:C28"/>
    <mergeCell ref="F24:L25"/>
    <mergeCell ref="B18:C18"/>
    <mergeCell ref="B21:C21"/>
    <mergeCell ref="D21:E21"/>
    <mergeCell ref="B22:C22"/>
    <mergeCell ref="B24:C24"/>
    <mergeCell ref="D24:E24"/>
    <mergeCell ref="D10:E10"/>
    <mergeCell ref="D17:E17"/>
    <mergeCell ref="D2:E2"/>
    <mergeCell ref="B2:C2"/>
    <mergeCell ref="B3:C3"/>
    <mergeCell ref="B10:C10"/>
    <mergeCell ref="B11:C11"/>
    <mergeCell ref="B17:C17"/>
  </mergeCells>
  <conditionalFormatting sqref="B3:C3">
    <cfRule type="containsText" dxfId="10" priority="5" operator="containsText" text="Base Case">
      <formula>NOT(ISERROR(SEARCH("Base Case",B3)))</formula>
    </cfRule>
    <cfRule type="containsText" dxfId="9" priority="6" operator="containsText" text="B$B$8">
      <formula>NOT(ISERROR(SEARCH("B$B$8",B3)))</formula>
    </cfRule>
    <cfRule type="containsText" dxfId="8" priority="7" operator="containsText" text="Bull Case">
      <formula>NOT(ISERROR(SEARCH("Bull Case",B3)))</formula>
    </cfRule>
    <cfRule type="containsText" dxfId="7" priority="8" operator="containsText" text="Bear Case">
      <formula>NOT(ISERROR(SEARCH("Bear Case",B3)))</formula>
    </cfRule>
  </conditionalFormatting>
  <conditionalFormatting sqref="B11:C11">
    <cfRule type="containsText" dxfId="6" priority="1" operator="containsText" text="Base Case">
      <formula>NOT(ISERROR(SEARCH("Base Case",B11)))</formula>
    </cfRule>
    <cfRule type="containsText" dxfId="5" priority="2" operator="containsText" text="B$B$8">
      <formula>NOT(ISERROR(SEARCH("B$B$8",B11)))</formula>
    </cfRule>
    <cfRule type="containsText" dxfId="4" priority="3" operator="containsText" text="Bull Case">
      <formula>NOT(ISERROR(SEARCH("Bull Case",B11)))</formula>
    </cfRule>
    <cfRule type="containsText" dxfId="3" priority="4" operator="containsText" text="Bear Case">
      <formula>NOT(ISERROR(SEARCH("Bear Case",B11)))</formula>
    </cfRule>
  </conditionalFormatting>
  <dataValidations count="2">
    <dataValidation type="list" allowBlank="1" showInputMessage="1" showErrorMessage="1" sqref="B3" xr:uid="{E5958F13-709E-4237-9A9F-62C32D0DFA9E}">
      <formula1>$B$6:$B$8</formula1>
    </dataValidation>
    <dataValidation type="list" allowBlank="1" showInputMessage="1" showErrorMessage="1" sqref="B11:C11" xr:uid="{5CD49899-D68E-4098-83C3-01C9459D4CC6}">
      <formula1>$B$13:$B$15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D238-824D-470E-8F1E-5D2407803286}">
  <dimension ref="A1:G52"/>
  <sheetViews>
    <sheetView showGridLines="0" zoomScale="75" zoomScaleNormal="112" workbookViewId="0">
      <selection activeCell="D19" sqref="D19"/>
    </sheetView>
  </sheetViews>
  <sheetFormatPr defaultRowHeight="14.4" x14ac:dyDescent="0.3"/>
  <cols>
    <col min="1" max="1" width="26.109375" bestFit="1" customWidth="1"/>
    <col min="2" max="2" width="18.21875" customWidth="1"/>
    <col min="3" max="3" width="9.6640625" customWidth="1"/>
    <col min="4" max="6" width="8.5546875" bestFit="1" customWidth="1"/>
  </cols>
  <sheetData>
    <row r="1" spans="1:6" x14ac:dyDescent="0.3">
      <c r="F1" s="61" t="s">
        <v>166</v>
      </c>
    </row>
    <row r="2" spans="1:6" x14ac:dyDescent="0.3">
      <c r="A2" s="129" t="s">
        <v>114</v>
      </c>
      <c r="B2" s="130">
        <v>46107</v>
      </c>
      <c r="C2" s="130">
        <v>46473</v>
      </c>
      <c r="D2" s="130">
        <v>46840</v>
      </c>
      <c r="E2" s="130">
        <v>47206</v>
      </c>
      <c r="F2" s="131">
        <v>47572</v>
      </c>
    </row>
    <row r="3" spans="1:6" x14ac:dyDescent="0.3">
      <c r="A3" s="109" t="s">
        <v>115</v>
      </c>
      <c r="B3" s="95"/>
      <c r="C3" s="95"/>
      <c r="D3" s="95"/>
      <c r="E3" s="95"/>
      <c r="F3" s="96"/>
    </row>
    <row r="4" spans="1:6" x14ac:dyDescent="0.3">
      <c r="A4" s="132" t="s">
        <v>112</v>
      </c>
      <c r="B4" s="92">
        <f>'Financial Statement'!I29</f>
        <v>25684.037949952002</v>
      </c>
      <c r="C4" s="92">
        <f>'Financial Statement'!J29</f>
        <v>28070.832158629051</v>
      </c>
      <c r="D4" s="92">
        <f>'Financial Statement'!K29</f>
        <v>30679.428975045401</v>
      </c>
      <c r="E4" s="92">
        <f>'Financial Statement'!L29</f>
        <v>33530.440313131905</v>
      </c>
      <c r="F4" s="93">
        <f>'Financial Statement'!M29</f>
        <v>36646.393533171598</v>
      </c>
    </row>
    <row r="5" spans="1:6" x14ac:dyDescent="0.3">
      <c r="A5" s="132" t="s">
        <v>116</v>
      </c>
      <c r="B5" s="133">
        <f>'Financial Statement'!I39</f>
        <v>0.291874266002631</v>
      </c>
      <c r="C5" s="133">
        <f>'Financial Statement'!J39</f>
        <v>0.291874266002631</v>
      </c>
      <c r="D5" s="133">
        <f>'Financial Statement'!K39</f>
        <v>0.291874266002631</v>
      </c>
      <c r="E5" s="133">
        <f>'Financial Statement'!L39</f>
        <v>0.291874266002631</v>
      </c>
      <c r="F5" s="134">
        <f>'Financial Statement'!M39</f>
        <v>0.291874266002631</v>
      </c>
    </row>
    <row r="6" spans="1:6" x14ac:dyDescent="0.3">
      <c r="A6" s="62" t="s">
        <v>117</v>
      </c>
      <c r="B6" s="63">
        <f>B4*(1-B5)</f>
        <v>18187.528225326041</v>
      </c>
      <c r="C6" s="63">
        <f t="shared" ref="C6:F6" si="0">C4*(1-C5)</f>
        <v>19877.678626246146</v>
      </c>
      <c r="D6" s="63">
        <f t="shared" si="0"/>
        <v>21724.893161574175</v>
      </c>
      <c r="E6" s="63">
        <f t="shared" si="0"/>
        <v>23743.767657991502</v>
      </c>
      <c r="F6" s="64">
        <f t="shared" si="0"/>
        <v>25950.254319033575</v>
      </c>
    </row>
    <row r="7" spans="1:6" x14ac:dyDescent="0.3">
      <c r="A7" s="132" t="s">
        <v>118</v>
      </c>
      <c r="B7" s="135">
        <f>'Financial Statement'!I26</f>
        <v>2263.7756699763499</v>
      </c>
      <c r="C7" s="135">
        <f>'Financial Statement'!J26</f>
        <v>2474.1462771749607</v>
      </c>
      <c r="D7" s="135">
        <f>'Financial Statement'!K26</f>
        <v>2704.0664329264873</v>
      </c>
      <c r="E7" s="135">
        <f>'Financial Statement'!L26</f>
        <v>2955.3528589379789</v>
      </c>
      <c r="F7" s="136">
        <f>'Financial Statement'!M26</f>
        <v>3229.991103206868</v>
      </c>
    </row>
    <row r="8" spans="1:6" x14ac:dyDescent="0.3">
      <c r="A8" s="132" t="s">
        <v>119</v>
      </c>
      <c r="B8" s="92">
        <f>Assumptions!B39</f>
        <v>3339.8932949552664</v>
      </c>
      <c r="C8" s="92">
        <f>Assumptions!C39</f>
        <v>3650.2665310302214</v>
      </c>
      <c r="D8" s="92">
        <f>Assumptions!D39</f>
        <v>3989.4824687020032</v>
      </c>
      <c r="E8" s="92">
        <f>Assumptions!E39</f>
        <v>4360.2214339095499</v>
      </c>
      <c r="F8" s="93">
        <f>Assumptions!F39</f>
        <v>4765.412832835369</v>
      </c>
    </row>
    <row r="9" spans="1:6" x14ac:dyDescent="0.3">
      <c r="A9" s="132" t="s">
        <v>120</v>
      </c>
      <c r="B9" s="92">
        <f>Assumptions!B60</f>
        <v>-1492.32264462481</v>
      </c>
      <c r="C9" s="92">
        <f>Assumptions!C60</f>
        <v>1306.4600573653734</v>
      </c>
      <c r="D9" s="92">
        <f>Assumptions!D60</f>
        <v>1427.8681982840153</v>
      </c>
      <c r="E9" s="92">
        <f>Assumptions!E60</f>
        <v>1560.558686947028</v>
      </c>
      <c r="F9" s="93">
        <f>Assumptions!F60</f>
        <v>1705.5799816345607</v>
      </c>
    </row>
    <row r="10" spans="1:6" x14ac:dyDescent="0.3">
      <c r="A10" s="62" t="s">
        <v>121</v>
      </c>
      <c r="B10" s="63">
        <f>SUM(B6,B7)-(B8)-(B9)</f>
        <v>18603.733244971932</v>
      </c>
      <c r="C10" s="63">
        <f t="shared" ref="C10:F10" si="1">SUM(C6,C7)-(C8)-(C9)</f>
        <v>17395.098315025512</v>
      </c>
      <c r="D10" s="63">
        <f t="shared" si="1"/>
        <v>19011.608927514644</v>
      </c>
      <c r="E10" s="63">
        <f t="shared" si="1"/>
        <v>20778.340396072905</v>
      </c>
      <c r="F10" s="64">
        <f t="shared" si="1"/>
        <v>22709.252607770512</v>
      </c>
    </row>
    <row r="11" spans="1:6" x14ac:dyDescent="0.3">
      <c r="A11" s="166"/>
      <c r="B11" s="126"/>
      <c r="C11" s="126"/>
      <c r="D11" s="126"/>
      <c r="E11" s="126"/>
      <c r="F11" s="126"/>
    </row>
    <row r="12" spans="1:6" x14ac:dyDescent="0.3">
      <c r="A12" s="173" t="s">
        <v>205</v>
      </c>
      <c r="B12" s="63">
        <f>B10/(1+$B$39)^1</f>
        <v>16759.780012612835</v>
      </c>
      <c r="C12" s="63">
        <f>C10/(1+$B$39)^2</f>
        <v>14117.679166958107</v>
      </c>
      <c r="D12" s="63">
        <f>D10/(1+$B$39)^3</f>
        <v>13900.27853509649</v>
      </c>
      <c r="E12" s="63">
        <f>E10/(1+$B$39)^4</f>
        <v>13686.225693914545</v>
      </c>
      <c r="F12" s="64">
        <f>F10/(1+$B$39)^5</f>
        <v>13475.469090193046</v>
      </c>
    </row>
    <row r="13" spans="1:6" x14ac:dyDescent="0.3">
      <c r="A13" s="175"/>
      <c r="B13" s="126"/>
      <c r="C13" s="126"/>
      <c r="D13" s="126"/>
      <c r="E13" s="126"/>
      <c r="F13" s="126"/>
    </row>
    <row r="14" spans="1:6" x14ac:dyDescent="0.3">
      <c r="A14" s="174" t="s">
        <v>206</v>
      </c>
      <c r="B14" s="167">
        <f>SUM(B12:F12)</f>
        <v>71939.43249877503</v>
      </c>
      <c r="C14" t="s">
        <v>212</v>
      </c>
      <c r="D14" s="126"/>
      <c r="E14" s="126"/>
      <c r="F14" s="126"/>
    </row>
    <row r="15" spans="1:6" x14ac:dyDescent="0.3">
      <c r="A15" s="176"/>
      <c r="B15" s="64"/>
      <c r="D15" s="126"/>
      <c r="E15" s="126"/>
      <c r="F15" s="126"/>
    </row>
    <row r="16" spans="1:6" x14ac:dyDescent="0.3">
      <c r="A16" s="173" t="s">
        <v>217</v>
      </c>
      <c r="B16" s="64">
        <f>F10*(1+Assumptions!B78)</f>
        <v>23844.715238159039</v>
      </c>
      <c r="C16" s="155" t="s">
        <v>208</v>
      </c>
      <c r="D16" s="126"/>
      <c r="E16" s="126"/>
      <c r="F16" s="126"/>
    </row>
    <row r="17" spans="1:6" x14ac:dyDescent="0.3">
      <c r="A17" s="177"/>
      <c r="B17" s="64"/>
      <c r="C17" s="155"/>
      <c r="D17" s="126"/>
      <c r="E17" s="126"/>
      <c r="F17" s="126"/>
    </row>
    <row r="18" spans="1:6" x14ac:dyDescent="0.3">
      <c r="A18" s="173" t="str">
        <f>A45</f>
        <v>Terminal Value</v>
      </c>
      <c r="B18" s="64">
        <f>B16/(B39-Assumptions!B78)</f>
        <v>397262.81437292381</v>
      </c>
      <c r="C18" s="155" t="s">
        <v>209</v>
      </c>
      <c r="D18" s="126"/>
      <c r="E18" s="126"/>
      <c r="F18" s="126"/>
    </row>
    <row r="19" spans="1:6" x14ac:dyDescent="0.3">
      <c r="A19" s="174" t="s">
        <v>219</v>
      </c>
      <c r="B19" s="64">
        <f>B18/(1+$B$39)^5</f>
        <v>235732.23074429465</v>
      </c>
      <c r="C19" s="158" t="s">
        <v>222</v>
      </c>
      <c r="D19" s="186">
        <f>B39</f>
        <v>0.11002252004330618</v>
      </c>
    </row>
    <row r="20" spans="1:6" x14ac:dyDescent="0.3">
      <c r="C20" s="158" t="s">
        <v>211</v>
      </c>
    </row>
    <row r="21" spans="1:6" x14ac:dyDescent="0.3">
      <c r="C21" s="158"/>
    </row>
    <row r="22" spans="1:6" x14ac:dyDescent="0.3">
      <c r="A22" s="178" t="s">
        <v>218</v>
      </c>
      <c r="B22" s="64">
        <f>B14+B19</f>
        <v>307671.66324306966</v>
      </c>
      <c r="C22" s="158"/>
    </row>
    <row r="23" spans="1:6" x14ac:dyDescent="0.3">
      <c r="A23" s="180"/>
      <c r="B23" s="126"/>
      <c r="C23" s="158"/>
    </row>
    <row r="24" spans="1:6" x14ac:dyDescent="0.3">
      <c r="A24" s="179" t="s">
        <v>220</v>
      </c>
      <c r="B24" s="181">
        <f>B22-'Financial Statement'!H56+'Financial Statement'!H87+'Financial Statement'!H80</f>
        <v>346118.66324306966</v>
      </c>
      <c r="C24" s="158"/>
    </row>
    <row r="25" spans="1:6" ht="15" thickBot="1" x14ac:dyDescent="0.35">
      <c r="C25" s="158"/>
    </row>
    <row r="26" spans="1:6" ht="15" thickBot="1" x14ac:dyDescent="0.35">
      <c r="A26" s="182" t="s">
        <v>221</v>
      </c>
      <c r="B26" s="183">
        <f>B24/'Data Sheet'!B14</f>
        <v>276.23197385719845</v>
      </c>
      <c r="C26" s="158"/>
    </row>
    <row r="30" spans="1:6" x14ac:dyDescent="0.3">
      <c r="A30" s="137" t="s">
        <v>173</v>
      </c>
      <c r="B30" s="138"/>
      <c r="C30" s="138"/>
    </row>
    <row r="31" spans="1:6" x14ac:dyDescent="0.3">
      <c r="A31" s="125" t="s">
        <v>170</v>
      </c>
      <c r="B31" s="92">
        <f>Valuation!C8*Valuation!C6</f>
        <v>377716.85</v>
      </c>
    </row>
    <row r="32" spans="1:6" x14ac:dyDescent="0.3">
      <c r="A32" s="125" t="s">
        <v>171</v>
      </c>
      <c r="B32" s="92">
        <f>'Financial Statement'!H56</f>
        <v>285</v>
      </c>
    </row>
    <row r="33" spans="1:7" ht="15" thickBot="1" x14ac:dyDescent="0.35">
      <c r="A33" s="127" t="s">
        <v>172</v>
      </c>
      <c r="B33" s="128">
        <f>SUM(B31:B32)</f>
        <v>378001.85</v>
      </c>
    </row>
    <row r="34" spans="1:7" ht="15" thickTop="1" x14ac:dyDescent="0.3"/>
    <row r="35" spans="1:7" x14ac:dyDescent="0.3">
      <c r="A35" s="125" t="s">
        <v>174</v>
      </c>
      <c r="B35" s="139">
        <f>B31/B33</f>
        <v>0.99924603543606993</v>
      </c>
    </row>
    <row r="37" spans="1:7" x14ac:dyDescent="0.3">
      <c r="A37" s="125" t="s">
        <v>175</v>
      </c>
      <c r="B37" s="139">
        <f>B32/B33</f>
        <v>7.5396456393004435E-4</v>
      </c>
    </row>
    <row r="39" spans="1:7" x14ac:dyDescent="0.3">
      <c r="A39" s="169" t="s">
        <v>199</v>
      </c>
      <c r="B39" s="165">
        <f>(B35*Assumptions!B66)+(FCFF!B37*Assumptions!B73*(1-'Financial Statement'!H39))</f>
        <v>0.11002252004330618</v>
      </c>
      <c r="C39" s="162" t="s">
        <v>200</v>
      </c>
      <c r="D39" s="142"/>
      <c r="E39" s="89"/>
    </row>
    <row r="40" spans="1:7" x14ac:dyDescent="0.3">
      <c r="C40" s="163" t="s">
        <v>201</v>
      </c>
      <c r="D40" s="1"/>
      <c r="E40" s="101"/>
    </row>
    <row r="41" spans="1:7" x14ac:dyDescent="0.3">
      <c r="C41" s="163" t="s">
        <v>202</v>
      </c>
      <c r="D41" s="1"/>
      <c r="E41" s="101"/>
    </row>
    <row r="42" spans="1:7" x14ac:dyDescent="0.3">
      <c r="C42" s="163" t="s">
        <v>203</v>
      </c>
      <c r="D42" s="1"/>
      <c r="E42" s="101"/>
    </row>
    <row r="43" spans="1:7" x14ac:dyDescent="0.3">
      <c r="C43" s="164" t="s">
        <v>204</v>
      </c>
      <c r="D43" s="144"/>
      <c r="E43" s="107"/>
    </row>
    <row r="45" spans="1:7" x14ac:dyDescent="0.3">
      <c r="A45" s="168" t="s">
        <v>207</v>
      </c>
      <c r="B45" s="170" t="s">
        <v>214</v>
      </c>
      <c r="C45" s="171" t="s">
        <v>213</v>
      </c>
      <c r="D45" s="142"/>
      <c r="E45" s="142"/>
      <c r="F45" s="142"/>
      <c r="G45" s="89"/>
    </row>
    <row r="46" spans="1:7" ht="14.4" customHeight="1" x14ac:dyDescent="0.3">
      <c r="A46" s="194" t="s">
        <v>215</v>
      </c>
      <c r="B46" s="195"/>
      <c r="C46" s="112" t="s">
        <v>210</v>
      </c>
      <c r="D46" s="1"/>
      <c r="E46" s="1"/>
      <c r="F46" s="1"/>
      <c r="G46" s="101"/>
    </row>
    <row r="47" spans="1:7" x14ac:dyDescent="0.3">
      <c r="A47" s="196"/>
      <c r="B47" s="197"/>
      <c r="C47" s="172" t="s">
        <v>211</v>
      </c>
      <c r="D47" s="144"/>
      <c r="E47" s="144"/>
      <c r="F47" s="144"/>
      <c r="G47" s="107"/>
    </row>
    <row r="48" spans="1:7" x14ac:dyDescent="0.3">
      <c r="A48" s="196"/>
      <c r="B48" s="197"/>
    </row>
    <row r="49" spans="1:2" x14ac:dyDescent="0.3">
      <c r="A49" s="196"/>
      <c r="B49" s="197"/>
    </row>
    <row r="50" spans="1:2" x14ac:dyDescent="0.3">
      <c r="A50" s="196"/>
      <c r="B50" s="197"/>
    </row>
    <row r="51" spans="1:2" x14ac:dyDescent="0.3">
      <c r="A51" s="196"/>
      <c r="B51" s="197"/>
    </row>
    <row r="52" spans="1:2" x14ac:dyDescent="0.3">
      <c r="A52" s="198"/>
      <c r="B52" s="199"/>
    </row>
  </sheetData>
  <mergeCells count="1">
    <mergeCell ref="A46:B5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B274-9AB5-4281-B5CA-E7F84BE99FFB}">
  <dimension ref="A1:M26"/>
  <sheetViews>
    <sheetView zoomScale="92" workbookViewId="0">
      <selection activeCell="C5" sqref="C5"/>
    </sheetView>
  </sheetViews>
  <sheetFormatPr defaultRowHeight="14.4" x14ac:dyDescent="0.3"/>
  <cols>
    <col min="2" max="2" width="25.109375" customWidth="1"/>
    <col min="3" max="3" width="8.88671875" style="44"/>
    <col min="6" max="6" width="11.88671875" bestFit="1" customWidth="1"/>
    <col min="9" max="9" width="9.5546875" bestFit="1" customWidth="1"/>
  </cols>
  <sheetData>
    <row r="1" spans="1:13" x14ac:dyDescent="0.3">
      <c r="A1" s="1"/>
      <c r="B1" s="112"/>
      <c r="C1" s="95"/>
      <c r="D1" s="1"/>
    </row>
    <row r="2" spans="1:13" ht="15" thickBot="1" x14ac:dyDescent="0.35">
      <c r="B2" s="111" t="s">
        <v>111</v>
      </c>
    </row>
    <row r="3" spans="1:13" ht="15" thickBot="1" x14ac:dyDescent="0.35">
      <c r="B3" s="113">
        <v>46840</v>
      </c>
      <c r="C3" s="118">
        <f>INDEX('Financial Statement'!I46:M46, MATCH(B3,'Financial Statement'!I8:M8,0))</f>
        <v>12.592189325420742</v>
      </c>
      <c r="D3" s="20"/>
      <c r="G3" s="36"/>
      <c r="H3" s="36"/>
      <c r="I3" s="37"/>
      <c r="J3" s="37"/>
      <c r="K3" s="37"/>
      <c r="L3" s="37"/>
      <c r="M3" s="37"/>
    </row>
    <row r="4" spans="1:13" x14ac:dyDescent="0.3">
      <c r="B4" s="20" t="s">
        <v>98</v>
      </c>
      <c r="C4" s="119">
        <v>20</v>
      </c>
      <c r="D4" s="20"/>
      <c r="G4" s="36"/>
      <c r="H4" s="36"/>
      <c r="I4" s="38"/>
      <c r="J4" s="36"/>
      <c r="K4" s="36"/>
      <c r="L4" s="36"/>
      <c r="M4" s="36"/>
    </row>
    <row r="5" spans="1:13" x14ac:dyDescent="0.3">
      <c r="B5" s="20" t="s">
        <v>90</v>
      </c>
      <c r="C5" s="184">
        <f>C3*C4</f>
        <v>251.84378650841484</v>
      </c>
      <c r="D5" s="20"/>
      <c r="E5" s="24"/>
      <c r="F5" s="23"/>
      <c r="G5" s="39"/>
      <c r="H5" s="36"/>
      <c r="I5" s="37"/>
      <c r="J5" s="36"/>
      <c r="K5" s="36"/>
      <c r="L5" s="36"/>
      <c r="M5" s="36"/>
    </row>
    <row r="6" spans="1:13" x14ac:dyDescent="0.3">
      <c r="B6" s="20" t="s">
        <v>17</v>
      </c>
      <c r="C6" s="184">
        <f>'Data Sheet'!$B$16</f>
        <v>301.45</v>
      </c>
      <c r="E6" s="23"/>
      <c r="F6" s="22"/>
      <c r="G6" s="40"/>
      <c r="H6" s="36"/>
      <c r="I6" s="37"/>
      <c r="J6" s="36"/>
      <c r="K6" s="36"/>
      <c r="L6" s="36"/>
      <c r="M6" s="36"/>
    </row>
    <row r="7" spans="1:13" ht="15" thickBot="1" x14ac:dyDescent="0.35">
      <c r="B7" s="20"/>
      <c r="C7" s="120"/>
      <c r="D7" s="20"/>
      <c r="E7" s="23"/>
      <c r="F7" s="22"/>
      <c r="G7" s="40"/>
      <c r="H7" s="36"/>
      <c r="I7" s="37"/>
      <c r="J7" s="36"/>
      <c r="K7" s="36"/>
      <c r="L7" s="36"/>
      <c r="M7" s="36"/>
    </row>
    <row r="8" spans="1:13" ht="15" thickBot="1" x14ac:dyDescent="0.35">
      <c r="B8" s="124" t="s">
        <v>169</v>
      </c>
      <c r="C8" s="121">
        <v>1253</v>
      </c>
      <c r="D8" s="20" t="s">
        <v>168</v>
      </c>
      <c r="E8" s="23"/>
      <c r="F8" s="22"/>
      <c r="G8" s="22"/>
    </row>
    <row r="9" spans="1:13" x14ac:dyDescent="0.3">
      <c r="B9" s="20" t="s">
        <v>106</v>
      </c>
      <c r="C9" s="120">
        <f>'Data Sheet'!F18</f>
        <v>4.7600000000000003E-2</v>
      </c>
      <c r="D9" s="20"/>
      <c r="E9" s="23"/>
      <c r="F9" s="22"/>
      <c r="G9" s="22"/>
    </row>
    <row r="10" spans="1:13" x14ac:dyDescent="0.3">
      <c r="B10" s="20"/>
      <c r="C10" s="119"/>
      <c r="D10" s="20"/>
      <c r="E10" s="23"/>
      <c r="F10" s="22"/>
      <c r="G10" s="22"/>
    </row>
    <row r="11" spans="1:13" x14ac:dyDescent="0.3">
      <c r="B11" s="20" t="s">
        <v>108</v>
      </c>
      <c r="C11" s="120">
        <f>(C5/C6)-1</f>
        <v>-0.16455867802814783</v>
      </c>
      <c r="E11" s="23"/>
      <c r="F11" s="22"/>
      <c r="G11" s="22"/>
    </row>
    <row r="12" spans="1:13" x14ac:dyDescent="0.3">
      <c r="B12" s="20"/>
      <c r="C12" s="119"/>
      <c r="D12" s="20"/>
      <c r="E12" s="23"/>
    </row>
    <row r="13" spans="1:13" x14ac:dyDescent="0.3">
      <c r="B13" s="20" t="s">
        <v>109</v>
      </c>
      <c r="C13" s="122">
        <f>C11+C9</f>
        <v>-0.11695867802814783</v>
      </c>
    </row>
    <row r="15" spans="1:13" x14ac:dyDescent="0.3">
      <c r="B15" s="20" t="s">
        <v>102</v>
      </c>
      <c r="C15" s="119" t="str">
        <f>IF(C13&gt;0.1,"BUY",IF(C13&lt;-0.1,"SELL","HOLD"))</f>
        <v>SELL</v>
      </c>
    </row>
    <row r="16" spans="1:13" x14ac:dyDescent="0.3">
      <c r="B16" t="s">
        <v>110</v>
      </c>
    </row>
    <row r="19" spans="2:8" ht="14.4" customHeight="1" x14ac:dyDescent="0.3">
      <c r="B19" s="200" t="s">
        <v>105</v>
      </c>
      <c r="C19" s="200"/>
      <c r="D19" s="110"/>
      <c r="E19" s="110"/>
      <c r="F19" s="110"/>
      <c r="G19" s="110"/>
      <c r="H19" s="110"/>
    </row>
    <row r="20" spans="2:8" x14ac:dyDescent="0.3">
      <c r="B20" s="200"/>
      <c r="C20" s="200"/>
      <c r="D20" s="110"/>
      <c r="E20" s="110"/>
      <c r="F20" s="110"/>
      <c r="G20" s="110"/>
      <c r="H20" s="110"/>
    </row>
    <row r="21" spans="2:8" x14ac:dyDescent="0.3">
      <c r="B21" s="200"/>
      <c r="C21" s="200"/>
      <c r="D21" s="110"/>
      <c r="E21" s="110"/>
      <c r="F21" s="110"/>
      <c r="G21" s="110"/>
      <c r="H21" s="110"/>
    </row>
    <row r="22" spans="2:8" x14ac:dyDescent="0.3">
      <c r="B22" s="200"/>
      <c r="C22" s="200"/>
      <c r="D22" s="110"/>
      <c r="E22" s="110"/>
      <c r="F22" s="110"/>
      <c r="G22" s="110"/>
      <c r="H22" s="110"/>
    </row>
    <row r="23" spans="2:8" x14ac:dyDescent="0.3">
      <c r="B23" s="200"/>
      <c r="C23" s="200"/>
      <c r="D23" s="110"/>
      <c r="E23" s="110"/>
      <c r="F23" s="110"/>
      <c r="G23" s="110"/>
      <c r="H23" s="110"/>
    </row>
    <row r="24" spans="2:8" x14ac:dyDescent="0.3">
      <c r="B24" s="200"/>
      <c r="C24" s="200"/>
    </row>
    <row r="25" spans="2:8" x14ac:dyDescent="0.3">
      <c r="B25" s="200"/>
      <c r="C25" s="200"/>
    </row>
    <row r="26" spans="2:8" x14ac:dyDescent="0.3">
      <c r="B26" s="110"/>
      <c r="C26" s="123"/>
    </row>
  </sheetData>
  <mergeCells count="1">
    <mergeCell ref="B19:C25"/>
  </mergeCells>
  <phoneticPr fontId="11" type="noConversion"/>
  <conditionalFormatting sqref="C15">
    <cfRule type="containsText" dxfId="2" priority="1" operator="containsText" text="Hold">
      <formula>NOT(ISERROR(SEARCH("Hold",C15)))</formula>
    </cfRule>
    <cfRule type="containsText" dxfId="1" priority="2" operator="containsText" text="Buy">
      <formula>NOT(ISERROR(SEARCH("Buy",C15)))</formula>
    </cfRule>
    <cfRule type="containsText" dxfId="0" priority="3" operator="containsText" text="Sell">
      <formula>NOT(ISERROR(SEARCH("Sell",C15)))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3EF9C3-2770-435B-AC31-31CB5D5707B0}">
          <x14:formula1>
            <xm:f>'Financial Statement'!$I$8:$M$8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Sheet</vt:lpstr>
      <vt:lpstr>Financial Statement</vt:lpstr>
      <vt:lpstr>Assumptions</vt:lpstr>
      <vt:lpstr>FCFF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 Keot</dc:creator>
  <cp:lastModifiedBy>Aban Keot</cp:lastModifiedBy>
  <cp:lastPrinted>2026-08-20T07:49:01Z</cp:lastPrinted>
  <dcterms:created xsi:type="dcterms:W3CDTF">2012-08-17T09:55:37Z</dcterms:created>
  <dcterms:modified xsi:type="dcterms:W3CDTF">2026-08-23T17:39:28Z</dcterms:modified>
</cp:coreProperties>
</file>